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Data Analytics Notes\Assignment\"/>
    </mc:Choice>
  </mc:AlternateContent>
  <xr:revisionPtr revIDLastSave="0" documentId="13_ncr:1_{3DB74AFC-3748-4B3E-9EAB-31D02FF4519B}" xr6:coauthVersionLast="47" xr6:coauthVersionMax="47" xr10:uidLastSave="{00000000-0000-0000-0000-000000000000}"/>
  <bookViews>
    <workbookView xWindow="-108" yWindow="-108" windowWidth="23256" windowHeight="12456" xr2:uid="{A3253924-13B8-4821-962B-1E93EC884E4F}"/>
  </bookViews>
  <sheets>
    <sheet name="Master Sheet" sheetId="1" r:id="rId1"/>
    <sheet name="Result CARD" sheetId="2" r:id="rId2"/>
    <sheet name="Rank Chart" sheetId="6" r:id="rId3"/>
    <sheet name="Grading Criteria" sheetId="3" state="hidden" r:id="rId4"/>
    <sheet name="Remarks Criteria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6" l="1"/>
  <c r="L18" i="6"/>
  <c r="L25" i="6"/>
  <c r="L33" i="6"/>
  <c r="L9" i="6"/>
  <c r="L26" i="6"/>
  <c r="L31" i="6"/>
  <c r="L23" i="6"/>
  <c r="L12" i="6"/>
  <c r="L22" i="6"/>
  <c r="L14" i="6"/>
  <c r="L6" i="6"/>
  <c r="L28" i="6"/>
  <c r="L24" i="6"/>
  <c r="L8" i="6"/>
  <c r="L5" i="6"/>
  <c r="L20" i="6"/>
  <c r="L7" i="6"/>
  <c r="L16" i="6"/>
  <c r="L4" i="6"/>
  <c r="L10" i="6"/>
  <c r="L17" i="6"/>
  <c r="L13" i="6"/>
  <c r="L15" i="6"/>
  <c r="L27" i="6"/>
  <c r="L32" i="6"/>
  <c r="L19" i="6"/>
  <c r="L21" i="6"/>
  <c r="L11" i="6"/>
  <c r="L29" i="6"/>
  <c r="G9" i="2"/>
  <c r="F9" i="2"/>
  <c r="E9" i="2"/>
  <c r="B6" i="2"/>
  <c r="B9" i="2" s="1" a="1"/>
  <c r="B4" i="2"/>
  <c r="B9" i="2" l="1"/>
  <c r="G18" i="2"/>
  <c r="G17" i="2"/>
  <c r="G16" i="2"/>
  <c r="G15" i="2"/>
  <c r="G14" i="2"/>
  <c r="G13" i="2"/>
  <c r="G12" i="2"/>
  <c r="G11" i="2"/>
  <c r="G10" i="2"/>
  <c r="F18" i="2"/>
  <c r="F17" i="2"/>
  <c r="F16" i="2"/>
  <c r="F15" i="2"/>
  <c r="F14" i="2"/>
  <c r="F13" i="2"/>
  <c r="F12" i="2"/>
  <c r="F11" i="2"/>
  <c r="F10" i="2"/>
  <c r="E18" i="2"/>
  <c r="E17" i="2"/>
  <c r="E16" i="2"/>
  <c r="E15" i="2"/>
  <c r="E14" i="2"/>
  <c r="E13" i="2"/>
  <c r="E12" i="2"/>
  <c r="E11" i="2"/>
  <c r="E10" i="2"/>
  <c r="B18" i="2" a="1"/>
  <c r="B18" i="2" s="1"/>
  <c r="D18" i="2" s="1"/>
  <c r="J18" i="2" s="1"/>
  <c r="B16" i="2" a="1"/>
  <c r="B16" i="2" s="1"/>
  <c r="D16" i="2" s="1"/>
  <c r="J16" i="2" s="1"/>
  <c r="B17" i="2" a="1"/>
  <c r="B17" i="2" s="1"/>
  <c r="D17" i="2" s="1"/>
  <c r="J17" i="2" s="1"/>
  <c r="B15" i="2" a="1"/>
  <c r="B15" i="2" s="1"/>
  <c r="D15" i="2" s="1"/>
  <c r="J15" i="2" s="1"/>
  <c r="B13" i="2" a="1"/>
  <c r="B13" i="2" s="1"/>
  <c r="D13" i="2" s="1"/>
  <c r="J13" i="2" s="1"/>
  <c r="B14" i="2" a="1"/>
  <c r="B14" i="2" s="1"/>
  <c r="D14" i="2" s="1"/>
  <c r="J14" i="2" s="1"/>
  <c r="B12" i="2" a="1"/>
  <c r="B12" i="2" s="1"/>
  <c r="D12" i="2" s="1"/>
  <c r="J12" i="2" s="1"/>
  <c r="B11" i="2" a="1"/>
  <c r="B11" i="2" s="1"/>
  <c r="D11" i="2" s="1"/>
  <c r="J11" i="2" s="1"/>
  <c r="B10" i="2" a="1"/>
  <c r="B10" i="2" s="1"/>
  <c r="D10" i="2" s="1"/>
  <c r="J10" i="2" s="1"/>
  <c r="C19" i="2" l="1"/>
  <c r="B19" i="2"/>
  <c r="J19" i="2" s="1"/>
  <c r="D9" i="2"/>
  <c r="I18" i="2"/>
  <c r="H18" i="2"/>
  <c r="I11" i="2"/>
  <c r="H11" i="2"/>
  <c r="I16" i="2"/>
  <c r="H16" i="2"/>
  <c r="I12" i="2"/>
  <c r="H12" i="2"/>
  <c r="I14" i="2"/>
  <c r="H14" i="2"/>
  <c r="I13" i="2"/>
  <c r="H13" i="2"/>
  <c r="I15" i="2"/>
  <c r="H15" i="2"/>
  <c r="I10" i="2"/>
  <c r="H10" i="2"/>
  <c r="I17" i="2"/>
  <c r="H17" i="2"/>
  <c r="D19" i="2" l="1"/>
  <c r="A22" i="2" s="1"/>
  <c r="J9" i="2"/>
  <c r="I9" i="2"/>
  <c r="H9" i="2"/>
  <c r="B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Moorche</author>
  </authors>
  <commentList>
    <comment ref="C7" authorId="0" shapeId="0" xr:uid="{82B53A27-3325-460A-A881-21983CF150EE}">
      <text>
        <r>
          <rPr>
            <sz val="9"/>
            <color indexed="81"/>
            <rFont val="Tahoma"/>
            <family val="2"/>
          </rPr>
          <t xml:space="preserve">Random entries added via fucntion =Randbetween()
</t>
        </r>
      </text>
    </comment>
    <comment ref="D7" authorId="0" shapeId="0" xr:uid="{D6F30FD2-7E7C-465F-931F-1DBAE81FB398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E7" authorId="0" shapeId="0" xr:uid="{8E4EF2EB-7994-49ED-B87E-7A8DC6BA9023}">
      <text>
        <r>
          <rPr>
            <b/>
            <sz val="9"/>
            <color indexed="81"/>
            <rFont val="Tahoma"/>
            <family val="2"/>
          </rPr>
          <t>Produced via =average() function</t>
        </r>
      </text>
    </comment>
    <comment ref="F7" authorId="0" shapeId="0" xr:uid="{0DA83335-BDC7-4F52-A29E-966EB8CDB2CB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G7" authorId="0" shapeId="0" xr:uid="{C6113548-181C-4E95-9755-172B9DA5625B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H7" authorId="0" shapeId="0" xr:uid="{C99B9B3D-409A-45B7-B5EF-93DBA13840AC}">
      <text>
        <r>
          <rPr>
            <b/>
            <sz val="9"/>
            <color indexed="81"/>
            <rFont val="Tahoma"/>
            <family val="2"/>
          </rPr>
          <t>Produced via =average() function</t>
        </r>
      </text>
    </comment>
    <comment ref="I7" authorId="0" shapeId="0" xr:uid="{5BD9ACFE-D97E-4EC3-BA9E-A509FB059B6F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J7" authorId="0" shapeId="0" xr:uid="{95B39D97-E5DF-4ABF-90F0-C3EFD6370738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K7" authorId="0" shapeId="0" xr:uid="{35461748-3212-4740-89DE-945A472A7BB8}">
      <text>
        <r>
          <rPr>
            <b/>
            <sz val="9"/>
            <color indexed="81"/>
            <rFont val="Tahoma"/>
            <family val="2"/>
          </rPr>
          <t>Produced via =average() function</t>
        </r>
      </text>
    </comment>
    <comment ref="L7" authorId="0" shapeId="0" xr:uid="{8A7D6F7B-2C9F-459B-92D0-7897089B4F7E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M7" authorId="0" shapeId="0" xr:uid="{3CF01C52-5BEE-4903-91A2-A60A90A2B63E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N7" authorId="0" shapeId="0" xr:uid="{21929EBE-47B6-4BB4-8463-7C6E3190087F}">
      <text>
        <r>
          <rPr>
            <b/>
            <sz val="9"/>
            <color indexed="81"/>
            <rFont val="Tahoma"/>
            <family val="2"/>
          </rPr>
          <t>Produced via =average() function</t>
        </r>
      </text>
    </comment>
    <comment ref="O7" authorId="0" shapeId="0" xr:uid="{074931F1-E53D-4C4E-8AED-E17B1A406263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P7" authorId="0" shapeId="0" xr:uid="{38F837BF-B81B-4419-9ED4-52C0AC96724B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Q7" authorId="0" shapeId="0" xr:uid="{482F35BE-37EB-452D-8934-EFE244D834B7}">
      <text>
        <r>
          <rPr>
            <b/>
            <sz val="9"/>
            <color indexed="81"/>
            <rFont val="Tahoma"/>
            <family val="2"/>
          </rPr>
          <t>Produced via =average() function</t>
        </r>
      </text>
    </comment>
    <comment ref="R7" authorId="0" shapeId="0" xr:uid="{16B06684-84FB-4B7E-A8ED-A823FEDA0A63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S7" authorId="0" shapeId="0" xr:uid="{FD311DA2-98DD-451C-B762-75827166D027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T7" authorId="0" shapeId="0" xr:uid="{1EDE7303-CC07-4376-92B3-ED04F43021EC}">
      <text>
        <r>
          <rPr>
            <b/>
            <sz val="9"/>
            <color indexed="81"/>
            <rFont val="Tahoma"/>
            <family val="2"/>
          </rPr>
          <t>Produced via =average() function</t>
        </r>
      </text>
    </comment>
    <comment ref="U7" authorId="0" shapeId="0" xr:uid="{CA10F54A-DC0B-410B-9686-D16F01B0FFEA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V7" authorId="0" shapeId="0" xr:uid="{1DAF4A0B-47AD-45D2-A406-5290C65F0554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W7" authorId="0" shapeId="0" xr:uid="{72E0E299-D56B-4E02-A473-D229B6E8E590}">
      <text>
        <r>
          <rPr>
            <b/>
            <sz val="9"/>
            <color indexed="81"/>
            <rFont val="Tahoma"/>
            <family val="2"/>
          </rPr>
          <t>Produced via =average() function</t>
        </r>
      </text>
    </comment>
    <comment ref="X7" authorId="0" shapeId="0" xr:uid="{72DD15D7-47A5-432A-90D7-A8033777F4AF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Y7" authorId="0" shapeId="0" xr:uid="{CDF158BA-EB85-4D58-9E41-62AACF110F4B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Z7" authorId="0" shapeId="0" xr:uid="{97EE589D-92D6-45E4-94A3-4176A821C041}">
      <text>
        <r>
          <rPr>
            <b/>
            <sz val="9"/>
            <color indexed="81"/>
            <rFont val="Tahoma"/>
            <family val="2"/>
          </rPr>
          <t>Produced via =average() function</t>
        </r>
      </text>
    </comment>
    <comment ref="AA7" authorId="0" shapeId="0" xr:uid="{DA34BDE0-893E-43C8-8095-822BDDFC7DEC}">
      <text>
        <r>
          <rPr>
            <b/>
            <sz val="9"/>
            <color indexed="81"/>
            <rFont val="Tahoma"/>
            <family val="2"/>
          </rPr>
          <t xml:space="preserve">Random entries added via fucntion =Randbetween()
</t>
        </r>
      </text>
    </comment>
    <comment ref="AB7" authorId="0" shapeId="0" xr:uid="{0ED7A096-48D1-4CD3-878A-008DE1C6BE12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AC7" authorId="0" shapeId="0" xr:uid="{4FF1AE88-D7B8-4560-A1C7-0D5563131F64}">
      <text>
        <r>
          <rPr>
            <b/>
            <sz val="9"/>
            <color indexed="81"/>
            <rFont val="Tahoma"/>
            <family val="2"/>
          </rPr>
          <t>Produced via =average() function</t>
        </r>
      </text>
    </comment>
    <comment ref="AD7" authorId="0" shapeId="0" xr:uid="{0787C494-8BF3-4F18-8BCC-7EA60CD8B3E1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AE7" authorId="0" shapeId="0" xr:uid="{05AB0EA7-6B3E-455B-ACB6-66D87301CF24}">
      <text>
        <r>
          <rPr>
            <b/>
            <sz val="9"/>
            <color indexed="81"/>
            <rFont val="Tahoma"/>
            <family val="2"/>
          </rPr>
          <t>Random entries added via fucntion =Randbetween()</t>
        </r>
      </text>
    </comment>
    <comment ref="AF7" authorId="0" shapeId="0" xr:uid="{6C3AFCA1-0B57-491B-811C-9CCF32125004}">
      <text>
        <r>
          <rPr>
            <b/>
            <sz val="9"/>
            <color indexed="81"/>
            <rFont val="Tahoma"/>
            <family val="2"/>
          </rPr>
          <t>Produced via =average() function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Moorche</author>
  </authors>
  <commentList>
    <comment ref="B5" authorId="0" shapeId="0" xr:uid="{184D77EC-8D19-499D-9FF7-E973E2305D1D}">
      <text>
        <r>
          <rPr>
            <b/>
            <sz val="9"/>
            <color indexed="81"/>
            <rFont val="Tahoma"/>
            <family val="2"/>
          </rPr>
          <t>Data Validation cell, using Roll No. column as reference.</t>
        </r>
      </text>
    </comment>
    <comment ref="B6" authorId="0" shapeId="0" xr:uid="{C704FC3D-D29C-4064-A826-10129E49ED7E}">
      <text>
        <r>
          <rPr>
            <b/>
            <sz val="9"/>
            <color indexed="81"/>
            <rFont val="Tahoma"/>
            <family val="2"/>
          </rPr>
          <t>=VLOOKUP(B5,'Master Sheet'!A8:B37,2,0)</t>
        </r>
      </text>
    </comment>
    <comment ref="B8" authorId="0" shapeId="0" xr:uid="{CE92A29F-F602-44D2-92A8-93D26A4CF5A8}">
      <text>
        <r>
          <rPr>
            <b/>
            <sz val="9"/>
            <color indexed="81"/>
            <rFont val="Tahoma"/>
            <family val="2"/>
          </rPr>
          <t>Values extracted using X lookup function.
=XLOOKUP($B$6,'Master Sheet'!$B$8:$B$37,'Master Sheet'!C$8:D$37,)</t>
        </r>
      </text>
    </comment>
    <comment ref="C8" authorId="0" shapeId="0" xr:uid="{EAB83C97-7080-420B-A510-CE905DF9A12D}">
      <text>
        <r>
          <rPr>
            <b/>
            <sz val="9"/>
            <color indexed="81"/>
            <rFont val="Tahoma"/>
            <family val="2"/>
          </rPr>
          <t>Values extracted using X lookup function.
=XLOOKUP($B$6,'Master Sheet'!$B$8:$B$37,'Master Sheet'!C$8:D$37,)</t>
        </r>
      </text>
    </comment>
    <comment ref="D8" authorId="0" shapeId="0" xr:uid="{BBB3B6AC-1683-4223-B329-90F46BE7975B}">
      <text>
        <r>
          <rPr>
            <b/>
            <sz val="9"/>
            <color indexed="81"/>
            <rFont val="Tahoma"/>
            <family val="2"/>
          </rPr>
          <t>=B9%</t>
        </r>
      </text>
    </comment>
    <comment ref="E8" authorId="0" shapeId="0" xr:uid="{0068D67E-9D92-48E5-8298-BBDF79D6C113}">
      <text>
        <r>
          <rPr>
            <b/>
            <sz val="9"/>
            <color indexed="81"/>
            <rFont val="Tahoma"/>
            <family val="2"/>
          </rPr>
          <t>=AVERAGE('Master Sheet'!$C$8:$C$37)</t>
        </r>
      </text>
    </comment>
    <comment ref="F8" authorId="0" shapeId="0" xr:uid="{9CFC39D8-DC28-461D-AE51-1F95E7696F5D}">
      <text>
        <r>
          <rPr>
            <b/>
            <sz val="9"/>
            <color indexed="81"/>
            <rFont val="Tahoma"/>
            <family val="2"/>
          </rPr>
          <t>=MAX('Master Sheet'!$C$8:$C$37)</t>
        </r>
      </text>
    </comment>
    <comment ref="G8" authorId="0" shapeId="0" xr:uid="{4A4760F0-2AA4-4872-9530-E8AB513C01E5}">
      <text>
        <r>
          <rPr>
            <b/>
            <sz val="9"/>
            <color indexed="81"/>
            <rFont val="Tahoma"/>
            <family val="2"/>
          </rPr>
          <t>=MIN('Master Sheet'!$C$8:$C$37)</t>
        </r>
      </text>
    </comment>
    <comment ref="H8" authorId="0" shapeId="0" xr:uid="{C257E721-799E-495D-8729-CC79E6D29723}">
      <text>
        <r>
          <rPr>
            <b/>
            <sz val="9"/>
            <color indexed="81"/>
            <rFont val="Tahoma"/>
            <family val="2"/>
          </rPr>
          <t>=IF(D9&gt;=45%,"Pass","Fail")</t>
        </r>
      </text>
    </comment>
    <comment ref="I8" authorId="0" shapeId="0" xr:uid="{BE783B69-835C-48ED-A0D1-93BF115A327B}">
      <text>
        <r>
          <rPr>
            <b/>
            <sz val="9"/>
            <color indexed="81"/>
            <rFont val="Tahoma"/>
            <family val="2"/>
          </rPr>
          <t>=VLOOKUP(D9,'Grading Criteria'!$A$3:$B$11,2,1)</t>
        </r>
      </text>
    </comment>
    <comment ref="J8" authorId="0" shapeId="0" xr:uid="{2150731A-391D-43E8-A1AA-E42601DAB1EB}">
      <text>
        <r>
          <rPr>
            <b/>
            <sz val="9"/>
            <color indexed="81"/>
            <rFont val="Tahoma"/>
            <family val="2"/>
          </rPr>
          <t>=VLOOKUP(D9,'Remarks Criteria'!$A$3:$B$11,2,1)</t>
        </r>
      </text>
    </comment>
    <comment ref="B19" authorId="0" shapeId="0" xr:uid="{833EA51B-511A-4414-B612-53352C94FE97}">
      <text>
        <r>
          <rPr>
            <b/>
            <sz val="9"/>
            <color indexed="81"/>
            <rFont val="Tahoma"/>
            <family val="2"/>
          </rPr>
          <t>=SUM(B9:B18)</t>
        </r>
      </text>
    </comment>
    <comment ref="C19" authorId="0" shapeId="0" xr:uid="{D81464FA-417B-401C-B777-95F8739877A9}">
      <text>
        <r>
          <rPr>
            <b/>
            <sz val="9"/>
            <color indexed="81"/>
            <rFont val="Tahoma"/>
            <family val="2"/>
          </rPr>
          <t>=SUM(C9:C18)</t>
        </r>
      </text>
    </comment>
    <comment ref="D19" authorId="0" shapeId="0" xr:uid="{BAFDEF61-B985-4FD0-8714-FAE45ED9805E}">
      <text>
        <r>
          <rPr>
            <b/>
            <sz val="9"/>
            <color indexed="81"/>
            <rFont val="Tahoma"/>
            <family val="2"/>
          </rPr>
          <t>=AVERAGE(D9:D18)</t>
        </r>
      </text>
    </comment>
    <comment ref="J19" authorId="0" shapeId="0" xr:uid="{ADB52BE4-20DD-45C4-B6DD-3DD472E904C2}">
      <text>
        <r>
          <rPr>
            <b/>
            <sz val="9"/>
            <color indexed="81"/>
            <rFont val="Tahoma"/>
            <family val="2"/>
          </rPr>
          <t>=RANK.AVG(B19,'Master Sheet'!AG8:AG37,)
Used conditional formatting for ranks</t>
        </r>
      </text>
    </comment>
    <comment ref="A22" authorId="0" shapeId="0" xr:uid="{0FF7E6BF-C145-424E-A94D-31DB41B79AE0}">
      <text>
        <r>
          <rPr>
            <b/>
            <sz val="9"/>
            <color indexed="81"/>
            <rFont val="Tahoma"/>
            <family val="2"/>
          </rPr>
          <t>=VLOOKUP(D19,'Remarks Criteria'!$A$3:$B$11,2,1)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<sst xmlns="http://schemas.openxmlformats.org/spreadsheetml/2006/main" count="240" uniqueCount="144">
  <si>
    <t>Name</t>
  </si>
  <si>
    <t>Roll #</t>
  </si>
  <si>
    <t>Physics</t>
  </si>
  <si>
    <t>Chemistry</t>
  </si>
  <si>
    <t>Marks Obtained</t>
  </si>
  <si>
    <t>Total Marks</t>
  </si>
  <si>
    <t>Math</t>
  </si>
  <si>
    <t>Biology</t>
  </si>
  <si>
    <t>Islamiat</t>
  </si>
  <si>
    <t>Pak Studies</t>
  </si>
  <si>
    <t>Computer</t>
  </si>
  <si>
    <t>History</t>
  </si>
  <si>
    <t>English</t>
  </si>
  <si>
    <t>Urdu</t>
  </si>
  <si>
    <t>Result Sheet for Final Term Examination</t>
  </si>
  <si>
    <t>Class</t>
  </si>
  <si>
    <t>Date</t>
  </si>
  <si>
    <t>Preparer</t>
  </si>
  <si>
    <t>Subjects</t>
  </si>
  <si>
    <t>Result Card</t>
  </si>
  <si>
    <t>Class Average</t>
  </si>
  <si>
    <t>Grade</t>
  </si>
  <si>
    <t>Remarks</t>
  </si>
  <si>
    <t>Total</t>
  </si>
  <si>
    <t>F</t>
  </si>
  <si>
    <t>D</t>
  </si>
  <si>
    <t>C</t>
  </si>
  <si>
    <t>B</t>
  </si>
  <si>
    <t>B+</t>
  </si>
  <si>
    <t>D+</t>
  </si>
  <si>
    <t>C+</t>
  </si>
  <si>
    <t>A</t>
  </si>
  <si>
    <t>A+</t>
  </si>
  <si>
    <t>%'age</t>
  </si>
  <si>
    <t>Position Obtained</t>
  </si>
  <si>
    <t>Marks %'age</t>
  </si>
  <si>
    <t>VERY POOR, CLASS REPEAT</t>
  </si>
  <si>
    <t>POOR PERFORMANCE</t>
  </si>
  <si>
    <t>NEED MORE ATTENTION</t>
  </si>
  <si>
    <t>WORK HARDER TO ACHIEVE BETTER</t>
  </si>
  <si>
    <t>NEED IMPROVEMENT</t>
  </si>
  <si>
    <t>NICE IMPROVEMENT, KEEP IT UP</t>
  </si>
  <si>
    <t>VERY GOOD, KEEP IT UP</t>
  </si>
  <si>
    <t>EXCELLENT, BRIGHT FUTURE A HEAD</t>
  </si>
  <si>
    <t>BRAVO</t>
  </si>
  <si>
    <t>Class Highest</t>
  </si>
  <si>
    <t>Class Lowest</t>
  </si>
  <si>
    <t>Pass/Fail</t>
  </si>
  <si>
    <t>Fail</t>
  </si>
  <si>
    <t>D.A Batch 8</t>
  </si>
  <si>
    <t>Mansab Ejaz Bhutta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</si>
  <si>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</si>
  <si>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</si>
  <si>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</si>
  <si>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</si>
  <si>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</si>
  <si>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</si>
  <si>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</si>
  <si>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</si>
  <si>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</si>
  <si>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</si>
  <si>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</si>
  <si>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</si>
  <si>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</si>
  <si>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</si>
  <si>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</si>
  <si>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</si>
  <si>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</si>
  <si>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</si>
  <si>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</si>
  <si>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</si>
  <si>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</si>
  <si>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</si>
  <si>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</si>
  <si>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</si>
  <si>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</si>
  <si>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</si>
  <si>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</si>
  <si>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</si>
  <si>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</si>
  <si>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</si>
  <si>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Kai Le</t>
  </si>
  <si>
    <t>Robert Patel</t>
  </si>
  <si>
    <t>Cameron Lo</t>
  </si>
  <si>
    <t>Harper Castillo</t>
  </si>
  <si>
    <t>Harper Dominguez</t>
  </si>
  <si>
    <t>Ezra Vu</t>
  </si>
  <si>
    <t>Jade Hu</t>
  </si>
  <si>
    <t>Miles Chang</t>
  </si>
  <si>
    <t>Gianna Holmes</t>
  </si>
  <si>
    <t>Jameson Thomas</t>
  </si>
  <si>
    <t>Jameson Pena</t>
  </si>
  <si>
    <t>Bella Wu</t>
  </si>
  <si>
    <t>Jose Wong</t>
  </si>
  <si>
    <t>Lucas Richardson</t>
  </si>
  <si>
    <t>Jacob Moore</t>
  </si>
  <si>
    <t>Luna Lu</t>
  </si>
  <si>
    <t>Bella Tran</t>
  </si>
  <si>
    <t>Ivy Chau</t>
  </si>
  <si>
    <t>Jordan Kumar</t>
  </si>
  <si>
    <t>Barr Faughny</t>
  </si>
  <si>
    <t>Dennison Crosswaite</t>
  </si>
  <si>
    <t>Gunar Cockshoot</t>
  </si>
  <si>
    <t>Wilone O'Kielt</t>
  </si>
  <si>
    <t>Gigi Bohling</t>
  </si>
  <si>
    <t>Curtice Advani</t>
  </si>
  <si>
    <t>Kaine Padly</t>
  </si>
  <si>
    <t>Ches Bonnell</t>
  </si>
  <si>
    <t>Andria Kimpton</t>
  </si>
  <si>
    <t>Brien Boise</t>
  </si>
  <si>
    <t>Husein Augar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</si>
  <si>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</si>
  <si>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</si>
  <si>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</si>
  <si>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</si>
  <si>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</si>
  <si>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</si>
  <si>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</si>
  <si>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</si>
  <si>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</si>
  <si>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</si>
  <si>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</si>
  <si>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</si>
  <si>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</si>
  <si>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</si>
  <si>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</si>
  <si>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</si>
  <si>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</si>
  <si>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</si>
  <si>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</si>
  <si>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</si>
  <si>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</si>
  <si>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</si>
  <si>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</si>
  <si>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</si>
  <si>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</si>
  <si>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</si>
  <si>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</si>
  <si>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</si>
  <si>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</si>
  <si>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</si>
  <si>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Ranking</t>
  </si>
  <si>
    <t>Student Rankings Chart</t>
  </si>
  <si>
    <t>Prepared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</si>
</sst>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\-mmm\-yy;@"/>
    <numFmt numFmtId="165" formatCode="[$-409]dd\-mmm\-yy;@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ooper Black"/>
      <family val="1"/>
    </font>
    <font>
      <sz val="11"/>
      <color rgb="FFFF0000"/>
      <name val="Elephant"/>
      <family val="1"/>
    </font>
    <font>
      <b/>
      <sz val="12"/>
      <color theme="5" tint="-0.499984740745262"/>
      <name val="Magneto"/>
      <family val="5"/>
    </font>
    <font>
      <b/>
      <sz val="14"/>
      <color theme="7" tint="-0.249977111117893"/>
      <name val="NSimSun"/>
      <family val="3"/>
    </font>
    <font>
      <sz val="12"/>
      <color theme="8" tint="-0.499984740745262"/>
      <name val="Showcard Gothic"/>
      <family val="5"/>
    </font>
    <font>
      <b/>
      <sz val="14"/>
      <color rgb="FF7030A0"/>
      <name val="Comic Sans MS"/>
      <family val="4"/>
    </font>
    <font>
      <sz val="12"/>
      <color theme="5"/>
      <name val="Arial Black"/>
      <family val="2"/>
    </font>
    <font>
      <b/>
      <sz val="14"/>
      <color rgb="FFFFC000"/>
      <name val="Algerian"/>
      <family val="5"/>
    </font>
    <font>
      <b/>
      <sz val="14"/>
      <color rgb="FF00B050"/>
      <name val="Stencil"/>
      <family val="5"/>
    </font>
    <font>
      <sz val="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7" fillId="0" borderId="0"/>
  </cellStyleXfs>
  <cellXfs count="101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3" fillId="7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8" fillId="9" borderId="4" xfId="0" applyFont="1" applyFill="1" applyBorder="1" applyAlignment="1">
      <alignment horizontal="center" vertical="center" wrapText="1"/>
    </xf>
    <xf numFmtId="9" fontId="0" fillId="0" borderId="4" xfId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64" fontId="0" fillId="0" borderId="7" xfId="0" applyNumberFormat="1" applyBorder="1" applyAlignment="1">
      <alignment horizontal="left"/>
    </xf>
    <xf numFmtId="0" fontId="7" fillId="0" borderId="4" xfId="2" applyBorder="1"/>
    <xf numFmtId="0" fontId="7" fillId="0" borderId="0" xfId="2"/>
    <xf numFmtId="9" fontId="0" fillId="0" borderId="4" xfId="1" applyFont="1" applyBorder="1"/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0" fillId="10" borderId="14" xfId="0" applyFont="1" applyFill="1" applyBorder="1" applyAlignment="1">
      <alignment horizontal="center" vertical="center"/>
    </xf>
    <xf numFmtId="9" fontId="20" fillId="10" borderId="14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6" fillId="0" borderId="4" xfId="0" applyFont="1" applyBorder="1"/>
    <xf numFmtId="0" fontId="26" fillId="0" borderId="4" xfId="0" applyFont="1" applyBorder="1" applyAlignment="1">
      <alignment horizontal="center"/>
    </xf>
    <xf numFmtId="0" fontId="26" fillId="0" borderId="5" xfId="0" applyFont="1" applyBorder="1"/>
    <xf numFmtId="0" fontId="26" fillId="0" borderId="5" xfId="0" applyFont="1" applyBorder="1" applyAlignment="1">
      <alignment horizontal="center"/>
    </xf>
    <xf numFmtId="0" fontId="26" fillId="0" borderId="35" xfId="0" applyFont="1" applyBorder="1"/>
    <xf numFmtId="0" fontId="26" fillId="0" borderId="36" xfId="0" applyFont="1" applyBorder="1" applyAlignment="1">
      <alignment horizontal="center"/>
    </xf>
    <xf numFmtId="0" fontId="26" fillId="0" borderId="37" xfId="0" applyFont="1" applyBorder="1" applyAlignment="1">
      <alignment horizontal="center"/>
    </xf>
    <xf numFmtId="0" fontId="19" fillId="10" borderId="4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6" fillId="11" borderId="20" xfId="0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2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41B657F-A361-4B54-A358-A595A10CB80C}"/>
    <cellStyle name="Percent" xfId="1" builtinId="5"/>
  </cellStyles>
  <dxfs count="2"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085DBF0-E55F-40DD-A83F-8BED540AE4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Marks</a:t>
            </a:r>
            <a:r>
              <a:rPr lang="en-US" baseline="0"/>
              <a:t>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 CARD'!$A$9:$A$18</c:f>
              <c:strCache>
                <c:ptCount val="10"/>
                <c:pt idx="0">
                  <c:v>Math</c:v>
                </c:pt>
                <c:pt idx="1">
                  <c:v>Physics</c:v>
                </c:pt>
                <c:pt idx="2">
                  <c:v>Chemistry</c:v>
                </c:pt>
                <c:pt idx="3">
                  <c:v>Biology</c:v>
                </c:pt>
                <c:pt idx="4">
                  <c:v>Islamiat</c:v>
                </c:pt>
                <c:pt idx="5">
                  <c:v>Pak Studies</c:v>
                </c:pt>
                <c:pt idx="6">
                  <c:v>Computer</c:v>
                </c:pt>
                <c:pt idx="7">
                  <c:v>History</c:v>
                </c:pt>
                <c:pt idx="8">
                  <c:v>English</c:v>
                </c:pt>
                <c:pt idx="9">
                  <c:v>Urdu</c:v>
                </c:pt>
              </c:strCache>
            </c:strRef>
          </c:cat>
          <c:val>
            <c:numRef>
              <c:f>'Result CARD'!$B$9:$B$18</c:f>
              <c:numCache>
                <c:formatCode>General</c:formatCode>
                <c:ptCount val="10"/>
                <c:pt idx="0">
                  <c:v>65</c:v>
                </c:pt>
                <c:pt idx="1">
                  <c:v>43</c:v>
                </c:pt>
                <c:pt idx="2">
                  <c:v>46</c:v>
                </c:pt>
                <c:pt idx="3">
                  <c:v>99</c:v>
                </c:pt>
                <c:pt idx="4">
                  <c:v>44</c:v>
                </c:pt>
                <c:pt idx="5">
                  <c:v>67</c:v>
                </c:pt>
                <c:pt idx="6">
                  <c:v>86</c:v>
                </c:pt>
                <c:pt idx="7">
                  <c:v>43</c:v>
                </c:pt>
                <c:pt idx="8">
                  <c:v>48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A-48C6-B4B7-A3B66585E7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09382240"/>
        <c:axId val="1809381280"/>
      </c:barChart>
      <c:catAx>
        <c:axId val="180938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81280"/>
        <c:crosses val="autoZero"/>
        <c:auto val="1"/>
        <c:lblAlgn val="ctr"/>
        <c:lblOffset val="100"/>
        <c:noMultiLvlLbl val="0"/>
      </c:catAx>
      <c:valAx>
        <c:axId val="180938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38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34924</xdr:colOff>
      <xdr:row>0</xdr:row>
      <xdr:rowOff>19050</xdr:rowOff>
    </xdr:from>
    <xdr:to>
      <xdr:col>19</xdr:col>
      <xdr:colOff>539750</xdr:colOff>
      <xdr:row>10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CE577A-EDE9-0C31-E79E-C8FD63159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5E4F-28FC-4609-BCEC-BF9A7E5E45C1}">
  <dimension ref="A1:AG43"/>
  <sheetViews>
    <sheetView tabSelected="1" workbookViewId="0">
      <selection activeCell="A5" sqref="A5:B6"/>
    </sheetView>
  </sheetViews>
  <sheetFormatPr defaultRowHeight="14.4" x14ac:dyDescent="0.3"/>
  <cols>
    <col min="1" max="1" width="11.21875" customWidth="1"/>
    <col min="2" max="2" width="26.44140625" customWidth="1"/>
  </cols>
  <sheetData>
    <row r="1" spans="1:33" ht="28.2" customHeight="1" x14ac:dyDescent="0.3">
      <c r="A1" s="94" t="s">
        <v>14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</row>
    <row r="2" spans="1:33" ht="15" thickBot="1" x14ac:dyDescent="0.35">
      <c r="A2" s="4" t="s">
        <v>15</v>
      </c>
      <c r="B2" s="5" t="s">
        <v>49</v>
      </c>
      <c r="C2" s="85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</row>
    <row r="3" spans="1:33" ht="15" thickBot="1" x14ac:dyDescent="0.35">
      <c r="A3" s="2" t="s">
        <v>16</v>
      </c>
      <c r="B3" s="29">
        <f ca="1">TODAY()</f>
        <v>46082</v>
      </c>
      <c r="C3" s="85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</row>
    <row r="4" spans="1:33" ht="15" thickBot="1" x14ac:dyDescent="0.35">
      <c r="A4" s="2" t="s">
        <v>17</v>
      </c>
      <c r="B4" s="3" t="s">
        <v>50</v>
      </c>
      <c r="C4" s="86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 spans="1:33" ht="26.55" customHeight="1" thickBot="1" x14ac:dyDescent="0.35">
      <c r="A5" s="78"/>
      <c r="B5" s="79"/>
      <c r="C5" s="91" t="s">
        <v>18</v>
      </c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3"/>
    </row>
    <row r="6" spans="1:33" x14ac:dyDescent="0.3">
      <c r="A6" s="96"/>
      <c r="B6" s="97"/>
      <c r="C6" s="87" t="s">
        <v>6</v>
      </c>
      <c r="D6" s="88"/>
      <c r="E6" s="89"/>
      <c r="F6" s="90" t="s">
        <v>2</v>
      </c>
      <c r="G6" s="88"/>
      <c r="H6" s="89"/>
      <c r="I6" s="90" t="s">
        <v>3</v>
      </c>
      <c r="J6" s="88"/>
      <c r="K6" s="89"/>
      <c r="L6" s="90" t="s">
        <v>7</v>
      </c>
      <c r="M6" s="88"/>
      <c r="N6" s="89"/>
      <c r="O6" s="90" t="s">
        <v>8</v>
      </c>
      <c r="P6" s="88"/>
      <c r="Q6" s="89"/>
      <c r="R6" s="90" t="s">
        <v>9</v>
      </c>
      <c r="S6" s="88"/>
      <c r="T6" s="89"/>
      <c r="U6" s="90" t="s">
        <v>10</v>
      </c>
      <c r="V6" s="88"/>
      <c r="W6" s="89"/>
      <c r="X6" s="90" t="s">
        <v>11</v>
      </c>
      <c r="Y6" s="88"/>
      <c r="Z6" s="89"/>
      <c r="AA6" s="90" t="s">
        <v>12</v>
      </c>
      <c r="AB6" s="88"/>
      <c r="AC6" s="89"/>
      <c r="AD6" s="90" t="s">
        <v>13</v>
      </c>
      <c r="AE6" s="88"/>
      <c r="AF6" s="89"/>
      <c r="AG6" s="84" t="s">
        <v>23</v>
      </c>
    </row>
    <row r="7" spans="1:33" ht="28.8" x14ac:dyDescent="0.3">
      <c r="A7" s="6" t="s">
        <v>1</v>
      </c>
      <c r="B7" s="6" t="s">
        <v>0</v>
      </c>
      <c r="C7" s="7" t="s">
        <v>4</v>
      </c>
      <c r="D7" s="8" t="s">
        <v>5</v>
      </c>
      <c r="E7" s="18" t="s">
        <v>33</v>
      </c>
      <c r="F7" s="7" t="s">
        <v>4</v>
      </c>
      <c r="G7" s="8" t="s">
        <v>5</v>
      </c>
      <c r="H7" s="18" t="s">
        <v>33</v>
      </c>
      <c r="I7" s="7" t="s">
        <v>4</v>
      </c>
      <c r="J7" s="8" t="s">
        <v>5</v>
      </c>
      <c r="K7" s="18" t="s">
        <v>33</v>
      </c>
      <c r="L7" s="7" t="s">
        <v>4</v>
      </c>
      <c r="M7" s="8" t="s">
        <v>5</v>
      </c>
      <c r="N7" s="18" t="s">
        <v>33</v>
      </c>
      <c r="O7" s="7" t="s">
        <v>4</v>
      </c>
      <c r="P7" s="8" t="s">
        <v>5</v>
      </c>
      <c r="Q7" s="18" t="s">
        <v>33</v>
      </c>
      <c r="R7" s="7" t="s">
        <v>4</v>
      </c>
      <c r="S7" s="8" t="s">
        <v>5</v>
      </c>
      <c r="T7" s="18" t="s">
        <v>33</v>
      </c>
      <c r="U7" s="7" t="s">
        <v>4</v>
      </c>
      <c r="V7" s="8" t="s">
        <v>5</v>
      </c>
      <c r="W7" s="18" t="s">
        <v>33</v>
      </c>
      <c r="X7" s="7" t="s">
        <v>4</v>
      </c>
      <c r="Y7" s="8" t="s">
        <v>5</v>
      </c>
      <c r="Z7" s="18" t="s">
        <v>33</v>
      </c>
      <c r="AA7" s="7" t="s">
        <v>4</v>
      </c>
      <c r="AB7" s="8" t="s">
        <v>5</v>
      </c>
      <c r="AC7" s="18" t="s">
        <v>33</v>
      </c>
      <c r="AD7" s="7" t="s">
        <v>4</v>
      </c>
      <c r="AE7" s="8" t="s">
        <v>5</v>
      </c>
      <c r="AF7" s="18" t="s">
        <v>33</v>
      </c>
      <c r="AG7" s="84"/>
    </row>
    <row r="8" spans="1:33" x14ac:dyDescent="0.3">
      <c r="A8" s="1" t="s">
        <v>51</v>
      </c>
      <c r="B8" s="1" t="s">
        <v>81</v>
      </c>
      <c r="C8" s="1">
        <v>65</v>
      </c>
      <c r="D8" s="1">
        <v>100</v>
      </c>
      <c r="E8" s="32">
        <v>0.65</v>
      </c>
      <c r="F8" s="1">
        <v>43</v>
      </c>
      <c r="G8" s="1">
        <v>100</v>
      </c>
      <c r="H8" s="32">
        <v>0.43</v>
      </c>
      <c r="I8" s="1">
        <v>46</v>
      </c>
      <c r="J8" s="1">
        <v>100</v>
      </c>
      <c r="K8" s="32">
        <v>0.46</v>
      </c>
      <c r="L8" s="1">
        <v>99</v>
      </c>
      <c r="M8" s="1">
        <v>100</v>
      </c>
      <c r="N8" s="32">
        <v>0.99</v>
      </c>
      <c r="O8" s="1">
        <v>44</v>
      </c>
      <c r="P8" s="1">
        <v>100</v>
      </c>
      <c r="Q8" s="32">
        <v>0.44</v>
      </c>
      <c r="R8" s="1">
        <v>67</v>
      </c>
      <c r="S8" s="1">
        <v>100</v>
      </c>
      <c r="T8" s="32">
        <v>0.67</v>
      </c>
      <c r="U8" s="1">
        <v>86</v>
      </c>
      <c r="V8" s="1">
        <v>100</v>
      </c>
      <c r="W8" s="32">
        <v>0.86</v>
      </c>
      <c r="X8" s="1">
        <v>43</v>
      </c>
      <c r="Y8" s="1">
        <v>100</v>
      </c>
      <c r="Z8" s="32">
        <v>0.43</v>
      </c>
      <c r="AA8" s="1">
        <v>48</v>
      </c>
      <c r="AB8" s="1">
        <v>100</v>
      </c>
      <c r="AC8" s="32">
        <v>0.48</v>
      </c>
      <c r="AD8" s="1">
        <v>98</v>
      </c>
      <c r="AE8" s="1">
        <v>100</v>
      </c>
      <c r="AF8" s="32">
        <v>0.98</v>
      </c>
      <c r="AG8" s="1">
        <v>639</v>
      </c>
    </row>
    <row r="9" spans="1:33" x14ac:dyDescent="0.3">
      <c r="A9" s="1" t="s">
        <v>52</v>
      </c>
      <c r="B9" s="1" t="s">
        <v>82</v>
      </c>
      <c r="C9" s="1">
        <v>95</v>
      </c>
      <c r="D9" s="1">
        <v>100</v>
      </c>
      <c r="E9" s="32">
        <v>0.95</v>
      </c>
      <c r="F9" s="1">
        <v>82</v>
      </c>
      <c r="G9" s="1">
        <v>100</v>
      </c>
      <c r="H9" s="32">
        <v>0.82</v>
      </c>
      <c r="I9" s="1">
        <v>48</v>
      </c>
      <c r="J9" s="1">
        <v>100</v>
      </c>
      <c r="K9" s="32">
        <v>0.48</v>
      </c>
      <c r="L9" s="1">
        <v>100</v>
      </c>
      <c r="M9" s="1">
        <v>100</v>
      </c>
      <c r="N9" s="32">
        <v>1</v>
      </c>
      <c r="O9" s="1">
        <v>83</v>
      </c>
      <c r="P9" s="1">
        <v>100</v>
      </c>
      <c r="Q9" s="32">
        <v>0.83</v>
      </c>
      <c r="R9" s="1">
        <v>56</v>
      </c>
      <c r="S9" s="1">
        <v>100</v>
      </c>
      <c r="T9" s="32">
        <v>0.56000000000000005</v>
      </c>
      <c r="U9" s="1">
        <v>88</v>
      </c>
      <c r="V9" s="1">
        <v>100</v>
      </c>
      <c r="W9" s="32">
        <v>0.88</v>
      </c>
      <c r="X9" s="1">
        <v>69</v>
      </c>
      <c r="Y9" s="1">
        <v>100</v>
      </c>
      <c r="Z9" s="32">
        <v>0.69</v>
      </c>
      <c r="AA9" s="1">
        <v>42</v>
      </c>
      <c r="AB9" s="1">
        <v>100</v>
      </c>
      <c r="AC9" s="32">
        <v>0.42</v>
      </c>
      <c r="AD9" s="1">
        <v>77</v>
      </c>
      <c r="AE9" s="1">
        <v>100</v>
      </c>
      <c r="AF9" s="32">
        <v>0.77</v>
      </c>
      <c r="AG9" s="1">
        <v>740</v>
      </c>
    </row>
    <row r="10" spans="1:33" x14ac:dyDescent="0.3">
      <c r="A10" s="1" t="s">
        <v>53</v>
      </c>
      <c r="B10" s="1" t="s">
        <v>83</v>
      </c>
      <c r="C10" s="1">
        <v>79</v>
      </c>
      <c r="D10" s="1">
        <v>100</v>
      </c>
      <c r="E10" s="32">
        <v>0.79</v>
      </c>
      <c r="F10" s="1">
        <v>80</v>
      </c>
      <c r="G10" s="1">
        <v>100</v>
      </c>
      <c r="H10" s="32">
        <v>0.8</v>
      </c>
      <c r="I10" s="1">
        <v>62</v>
      </c>
      <c r="J10" s="1">
        <v>100</v>
      </c>
      <c r="K10" s="32">
        <v>0.62</v>
      </c>
      <c r="L10" s="1">
        <v>85</v>
      </c>
      <c r="M10" s="1">
        <v>100</v>
      </c>
      <c r="N10" s="32">
        <v>0.85</v>
      </c>
      <c r="O10" s="1">
        <v>73</v>
      </c>
      <c r="P10" s="1">
        <v>100</v>
      </c>
      <c r="Q10" s="32">
        <v>0.73</v>
      </c>
      <c r="R10" s="1">
        <v>57</v>
      </c>
      <c r="S10" s="1">
        <v>100</v>
      </c>
      <c r="T10" s="32">
        <v>0.56999999999999995</v>
      </c>
      <c r="U10" s="1">
        <v>64</v>
      </c>
      <c r="V10" s="1">
        <v>100</v>
      </c>
      <c r="W10" s="32">
        <v>0.64</v>
      </c>
      <c r="X10" s="1">
        <v>47</v>
      </c>
      <c r="Y10" s="1">
        <v>100</v>
      </c>
      <c r="Z10" s="32">
        <v>0.47</v>
      </c>
      <c r="AA10" s="1">
        <v>47</v>
      </c>
      <c r="AB10" s="1">
        <v>100</v>
      </c>
      <c r="AC10" s="32">
        <v>0.47</v>
      </c>
      <c r="AD10" s="1">
        <v>83</v>
      </c>
      <c r="AE10" s="1">
        <v>100</v>
      </c>
      <c r="AF10" s="32">
        <v>0.83</v>
      </c>
      <c r="AG10" s="1">
        <v>677</v>
      </c>
    </row>
    <row r="11" spans="1:33" x14ac:dyDescent="0.3">
      <c r="A11" s="1" t="s">
        <v>54</v>
      </c>
      <c r="B11" s="1" t="s">
        <v>84</v>
      </c>
      <c r="C11" s="1">
        <v>79</v>
      </c>
      <c r="D11" s="1">
        <v>100</v>
      </c>
      <c r="E11" s="32">
        <v>0.79</v>
      </c>
      <c r="F11" s="1">
        <v>84</v>
      </c>
      <c r="G11" s="1">
        <v>100</v>
      </c>
      <c r="H11" s="32">
        <v>0.84</v>
      </c>
      <c r="I11" s="1">
        <v>95</v>
      </c>
      <c r="J11" s="1">
        <v>100</v>
      </c>
      <c r="K11" s="32">
        <v>0.95</v>
      </c>
      <c r="L11" s="1">
        <v>75</v>
      </c>
      <c r="M11" s="1">
        <v>100</v>
      </c>
      <c r="N11" s="32">
        <v>0.75</v>
      </c>
      <c r="O11" s="1">
        <v>41</v>
      </c>
      <c r="P11" s="1">
        <v>100</v>
      </c>
      <c r="Q11" s="32">
        <v>0.41</v>
      </c>
      <c r="R11" s="1">
        <v>66</v>
      </c>
      <c r="S11" s="1">
        <v>100</v>
      </c>
      <c r="T11" s="32">
        <v>0.66</v>
      </c>
      <c r="U11" s="1">
        <v>81</v>
      </c>
      <c r="V11" s="1">
        <v>100</v>
      </c>
      <c r="W11" s="32">
        <v>0.81</v>
      </c>
      <c r="X11" s="1">
        <v>66</v>
      </c>
      <c r="Y11" s="1">
        <v>100</v>
      </c>
      <c r="Z11" s="32">
        <v>0.66</v>
      </c>
      <c r="AA11" s="1">
        <v>60</v>
      </c>
      <c r="AB11" s="1">
        <v>100</v>
      </c>
      <c r="AC11" s="32">
        <v>0.6</v>
      </c>
      <c r="AD11" s="1">
        <v>41</v>
      </c>
      <c r="AE11" s="1">
        <v>100</v>
      </c>
      <c r="AF11" s="32">
        <v>0.41</v>
      </c>
      <c r="AG11" s="1">
        <v>688</v>
      </c>
    </row>
    <row r="12" spans="1:33" x14ac:dyDescent="0.3">
      <c r="A12" s="1" t="s">
        <v>55</v>
      </c>
      <c r="B12" s="1" t="s">
        <v>85</v>
      </c>
      <c r="C12" s="1">
        <v>45</v>
      </c>
      <c r="D12" s="1">
        <v>100</v>
      </c>
      <c r="E12" s="32">
        <v>0.45</v>
      </c>
      <c r="F12" s="1">
        <v>88</v>
      </c>
      <c r="G12" s="1">
        <v>100</v>
      </c>
      <c r="H12" s="32">
        <v>0.88</v>
      </c>
      <c r="I12" s="1">
        <v>55</v>
      </c>
      <c r="J12" s="1">
        <v>100</v>
      </c>
      <c r="K12" s="32">
        <v>0.55000000000000004</v>
      </c>
      <c r="L12" s="1">
        <v>72</v>
      </c>
      <c r="M12" s="1">
        <v>100</v>
      </c>
      <c r="N12" s="32">
        <v>0.72</v>
      </c>
      <c r="O12" s="1">
        <v>40</v>
      </c>
      <c r="P12" s="1">
        <v>100</v>
      </c>
      <c r="Q12" s="32">
        <v>0.4</v>
      </c>
      <c r="R12" s="1">
        <v>81</v>
      </c>
      <c r="S12" s="1">
        <v>100</v>
      </c>
      <c r="T12" s="32">
        <v>0.81</v>
      </c>
      <c r="U12" s="1">
        <v>53</v>
      </c>
      <c r="V12" s="1">
        <v>100</v>
      </c>
      <c r="W12" s="32">
        <v>0.53</v>
      </c>
      <c r="X12" s="1">
        <v>48</v>
      </c>
      <c r="Y12" s="1">
        <v>100</v>
      </c>
      <c r="Z12" s="32">
        <v>0.48</v>
      </c>
      <c r="AA12" s="1">
        <v>49</v>
      </c>
      <c r="AB12" s="1">
        <v>100</v>
      </c>
      <c r="AC12" s="32">
        <v>0.49</v>
      </c>
      <c r="AD12" s="1">
        <v>61</v>
      </c>
      <c r="AE12" s="1">
        <v>100</v>
      </c>
      <c r="AF12" s="32">
        <v>0.61</v>
      </c>
      <c r="AG12" s="1">
        <v>592</v>
      </c>
    </row>
    <row r="13" spans="1:33" x14ac:dyDescent="0.3">
      <c r="A13" s="1" t="s">
        <v>56</v>
      </c>
      <c r="B13" s="1" t="s">
        <v>86</v>
      </c>
      <c r="C13" s="1">
        <v>59</v>
      </c>
      <c r="D13" s="1">
        <v>100</v>
      </c>
      <c r="E13" s="32">
        <v>0.59</v>
      </c>
      <c r="F13" s="1">
        <v>52</v>
      </c>
      <c r="G13" s="1">
        <v>100</v>
      </c>
      <c r="H13" s="32">
        <v>0.52</v>
      </c>
      <c r="I13" s="1">
        <v>93</v>
      </c>
      <c r="J13" s="1">
        <v>100</v>
      </c>
      <c r="K13" s="32">
        <v>0.93</v>
      </c>
      <c r="L13" s="1">
        <v>63</v>
      </c>
      <c r="M13" s="1">
        <v>100</v>
      </c>
      <c r="N13" s="32">
        <v>0.63</v>
      </c>
      <c r="O13" s="1">
        <v>95</v>
      </c>
      <c r="P13" s="1">
        <v>100</v>
      </c>
      <c r="Q13" s="32">
        <v>0.95</v>
      </c>
      <c r="R13" s="1">
        <v>43</v>
      </c>
      <c r="S13" s="1">
        <v>100</v>
      </c>
      <c r="T13" s="32">
        <v>0.43</v>
      </c>
      <c r="U13" s="1">
        <v>55</v>
      </c>
      <c r="V13" s="1">
        <v>100</v>
      </c>
      <c r="W13" s="32">
        <v>0.55000000000000004</v>
      </c>
      <c r="X13" s="1">
        <v>92</v>
      </c>
      <c r="Y13" s="1">
        <v>100</v>
      </c>
      <c r="Z13" s="32">
        <v>0.92</v>
      </c>
      <c r="AA13" s="1">
        <v>45</v>
      </c>
      <c r="AB13" s="1">
        <v>100</v>
      </c>
      <c r="AC13" s="32">
        <v>0.45</v>
      </c>
      <c r="AD13" s="1">
        <v>53</v>
      </c>
      <c r="AE13" s="1">
        <v>100</v>
      </c>
      <c r="AF13" s="32">
        <v>0.53</v>
      </c>
      <c r="AG13" s="1">
        <v>650</v>
      </c>
    </row>
    <row r="14" spans="1:33" x14ac:dyDescent="0.3">
      <c r="A14" s="1" t="s">
        <v>57</v>
      </c>
      <c r="B14" s="1" t="s">
        <v>87</v>
      </c>
      <c r="C14" s="1">
        <v>58</v>
      </c>
      <c r="D14" s="1">
        <v>100</v>
      </c>
      <c r="E14" s="32">
        <v>0.57999999999999996</v>
      </c>
      <c r="F14" s="1">
        <v>63</v>
      </c>
      <c r="G14" s="1">
        <v>100</v>
      </c>
      <c r="H14" s="32">
        <v>0.63</v>
      </c>
      <c r="I14" s="1">
        <v>93</v>
      </c>
      <c r="J14" s="1">
        <v>100</v>
      </c>
      <c r="K14" s="32">
        <v>0.93</v>
      </c>
      <c r="L14" s="1">
        <v>83</v>
      </c>
      <c r="M14" s="1">
        <v>100</v>
      </c>
      <c r="N14" s="32">
        <v>0.83</v>
      </c>
      <c r="O14" s="1">
        <v>83</v>
      </c>
      <c r="P14" s="1">
        <v>100</v>
      </c>
      <c r="Q14" s="32">
        <v>0.83</v>
      </c>
      <c r="R14" s="1">
        <v>43</v>
      </c>
      <c r="S14" s="1">
        <v>100</v>
      </c>
      <c r="T14" s="32">
        <v>0.43</v>
      </c>
      <c r="U14" s="1">
        <v>84</v>
      </c>
      <c r="V14" s="1">
        <v>100</v>
      </c>
      <c r="W14" s="32">
        <v>0.84</v>
      </c>
      <c r="X14" s="1">
        <v>58</v>
      </c>
      <c r="Y14" s="1">
        <v>100</v>
      </c>
      <c r="Z14" s="32">
        <v>0.57999999999999996</v>
      </c>
      <c r="AA14" s="1">
        <v>97</v>
      </c>
      <c r="AB14" s="1">
        <v>100</v>
      </c>
      <c r="AC14" s="32">
        <v>0.97</v>
      </c>
      <c r="AD14" s="1">
        <v>51</v>
      </c>
      <c r="AE14" s="1">
        <v>100</v>
      </c>
      <c r="AF14" s="32">
        <v>0.51</v>
      </c>
      <c r="AG14" s="1">
        <v>713</v>
      </c>
    </row>
    <row r="15" spans="1:33" x14ac:dyDescent="0.3">
      <c r="A15" s="1" t="s">
        <v>58</v>
      </c>
      <c r="B15" s="1" t="s">
        <v>88</v>
      </c>
      <c r="C15" s="1">
        <v>81</v>
      </c>
      <c r="D15" s="1">
        <v>100</v>
      </c>
      <c r="E15" s="32">
        <v>0.81</v>
      </c>
      <c r="F15" s="1">
        <v>82</v>
      </c>
      <c r="G15" s="1">
        <v>100</v>
      </c>
      <c r="H15" s="32">
        <v>0.82</v>
      </c>
      <c r="I15" s="1">
        <v>60</v>
      </c>
      <c r="J15" s="1">
        <v>100</v>
      </c>
      <c r="K15" s="32">
        <v>0.6</v>
      </c>
      <c r="L15" s="1">
        <v>92</v>
      </c>
      <c r="M15" s="1">
        <v>100</v>
      </c>
      <c r="N15" s="32">
        <v>0.92</v>
      </c>
      <c r="O15" s="1">
        <v>51</v>
      </c>
      <c r="P15" s="1">
        <v>100</v>
      </c>
      <c r="Q15" s="32">
        <v>0.51</v>
      </c>
      <c r="R15" s="1">
        <v>92</v>
      </c>
      <c r="S15" s="1">
        <v>100</v>
      </c>
      <c r="T15" s="32">
        <v>0.92</v>
      </c>
      <c r="U15" s="1">
        <v>91</v>
      </c>
      <c r="V15" s="1">
        <v>100</v>
      </c>
      <c r="W15" s="32">
        <v>0.91</v>
      </c>
      <c r="X15" s="1">
        <v>42</v>
      </c>
      <c r="Y15" s="1">
        <v>100</v>
      </c>
      <c r="Z15" s="32">
        <v>0.42</v>
      </c>
      <c r="AA15" s="1">
        <v>89</v>
      </c>
      <c r="AB15" s="1">
        <v>100</v>
      </c>
      <c r="AC15" s="32">
        <v>0.89</v>
      </c>
      <c r="AD15" s="1">
        <v>48</v>
      </c>
      <c r="AE15" s="1">
        <v>100</v>
      </c>
      <c r="AF15" s="32">
        <v>0.48</v>
      </c>
      <c r="AG15" s="1">
        <v>728</v>
      </c>
    </row>
    <row r="16" spans="1:33" x14ac:dyDescent="0.3">
      <c r="A16" s="1" t="s">
        <v>59</v>
      </c>
      <c r="B16" s="1" t="s">
        <v>89</v>
      </c>
      <c r="C16" s="1">
        <v>73</v>
      </c>
      <c r="D16" s="1">
        <v>100</v>
      </c>
      <c r="E16" s="32">
        <v>0.73</v>
      </c>
      <c r="F16" s="1">
        <v>86</v>
      </c>
      <c r="G16" s="1">
        <v>100</v>
      </c>
      <c r="H16" s="32">
        <v>0.86</v>
      </c>
      <c r="I16" s="1">
        <v>69</v>
      </c>
      <c r="J16" s="1">
        <v>100</v>
      </c>
      <c r="K16" s="32">
        <v>0.69</v>
      </c>
      <c r="L16" s="1">
        <v>48</v>
      </c>
      <c r="M16" s="1">
        <v>100</v>
      </c>
      <c r="N16" s="32">
        <v>0.48</v>
      </c>
      <c r="O16" s="1">
        <v>98</v>
      </c>
      <c r="P16" s="1">
        <v>100</v>
      </c>
      <c r="Q16" s="32">
        <v>0.98</v>
      </c>
      <c r="R16" s="1">
        <v>44</v>
      </c>
      <c r="S16" s="1">
        <v>100</v>
      </c>
      <c r="T16" s="32">
        <v>0.44</v>
      </c>
      <c r="U16" s="1">
        <v>43</v>
      </c>
      <c r="V16" s="1">
        <v>100</v>
      </c>
      <c r="W16" s="32">
        <v>0.43</v>
      </c>
      <c r="X16" s="1">
        <v>90</v>
      </c>
      <c r="Y16" s="1">
        <v>100</v>
      </c>
      <c r="Z16" s="32">
        <v>0.9</v>
      </c>
      <c r="AA16" s="1">
        <v>61</v>
      </c>
      <c r="AB16" s="1">
        <v>100</v>
      </c>
      <c r="AC16" s="32">
        <v>0.61</v>
      </c>
      <c r="AD16" s="1">
        <v>85</v>
      </c>
      <c r="AE16" s="1">
        <v>100</v>
      </c>
      <c r="AF16" s="32">
        <v>0.85</v>
      </c>
      <c r="AG16" s="1">
        <v>697</v>
      </c>
    </row>
    <row r="17" spans="1:33" x14ac:dyDescent="0.3">
      <c r="A17" s="1" t="s">
        <v>60</v>
      </c>
      <c r="B17" s="1" t="s">
        <v>90</v>
      </c>
      <c r="C17" s="1">
        <v>58</v>
      </c>
      <c r="D17" s="1">
        <v>100</v>
      </c>
      <c r="E17" s="32">
        <v>0.57999999999999996</v>
      </c>
      <c r="F17" s="1">
        <v>72</v>
      </c>
      <c r="G17" s="1">
        <v>100</v>
      </c>
      <c r="H17" s="32">
        <v>0.72</v>
      </c>
      <c r="I17" s="1">
        <v>95</v>
      </c>
      <c r="J17" s="1">
        <v>100</v>
      </c>
      <c r="K17" s="32">
        <v>0.95</v>
      </c>
      <c r="L17" s="1">
        <v>84</v>
      </c>
      <c r="M17" s="1">
        <v>100</v>
      </c>
      <c r="N17" s="32">
        <v>0.84</v>
      </c>
      <c r="O17" s="1">
        <v>57</v>
      </c>
      <c r="P17" s="1">
        <v>100</v>
      </c>
      <c r="Q17" s="32">
        <v>0.56999999999999995</v>
      </c>
      <c r="R17" s="1">
        <v>67</v>
      </c>
      <c r="S17" s="1">
        <v>100</v>
      </c>
      <c r="T17" s="32">
        <v>0.67</v>
      </c>
      <c r="U17" s="1">
        <v>99</v>
      </c>
      <c r="V17" s="1">
        <v>100</v>
      </c>
      <c r="W17" s="32">
        <v>0.99</v>
      </c>
      <c r="X17" s="1">
        <v>62</v>
      </c>
      <c r="Y17" s="1">
        <v>100</v>
      </c>
      <c r="Z17" s="32">
        <v>0.62</v>
      </c>
      <c r="AA17" s="1">
        <v>60</v>
      </c>
      <c r="AB17" s="1">
        <v>100</v>
      </c>
      <c r="AC17" s="32">
        <v>0.6</v>
      </c>
      <c r="AD17" s="1">
        <v>94</v>
      </c>
      <c r="AE17" s="1">
        <v>100</v>
      </c>
      <c r="AF17" s="32">
        <v>0.94</v>
      </c>
      <c r="AG17" s="1">
        <v>748</v>
      </c>
    </row>
    <row r="18" spans="1:33" x14ac:dyDescent="0.3">
      <c r="A18" s="1" t="s">
        <v>61</v>
      </c>
      <c r="B18" s="1" t="s">
        <v>91</v>
      </c>
      <c r="C18" s="1">
        <v>97</v>
      </c>
      <c r="D18" s="1">
        <v>100</v>
      </c>
      <c r="E18" s="32">
        <v>0.97</v>
      </c>
      <c r="F18" s="1">
        <v>70</v>
      </c>
      <c r="G18" s="1">
        <v>100</v>
      </c>
      <c r="H18" s="32">
        <v>0.7</v>
      </c>
      <c r="I18" s="1">
        <v>98</v>
      </c>
      <c r="J18" s="1">
        <v>100</v>
      </c>
      <c r="K18" s="32">
        <v>0.98</v>
      </c>
      <c r="L18" s="1">
        <v>83</v>
      </c>
      <c r="M18" s="1">
        <v>100</v>
      </c>
      <c r="N18" s="32">
        <v>0.83</v>
      </c>
      <c r="O18" s="1">
        <v>67</v>
      </c>
      <c r="P18" s="1">
        <v>100</v>
      </c>
      <c r="Q18" s="32">
        <v>0.67</v>
      </c>
      <c r="R18" s="1">
        <v>86</v>
      </c>
      <c r="S18" s="1">
        <v>100</v>
      </c>
      <c r="T18" s="32">
        <v>0.86</v>
      </c>
      <c r="U18" s="1">
        <v>97</v>
      </c>
      <c r="V18" s="1">
        <v>100</v>
      </c>
      <c r="W18" s="32">
        <v>0.97</v>
      </c>
      <c r="X18" s="1">
        <v>94</v>
      </c>
      <c r="Y18" s="1">
        <v>100</v>
      </c>
      <c r="Z18" s="32">
        <v>0.94</v>
      </c>
      <c r="AA18" s="1">
        <v>70</v>
      </c>
      <c r="AB18" s="1">
        <v>100</v>
      </c>
      <c r="AC18" s="32">
        <v>0.7</v>
      </c>
      <c r="AD18" s="1">
        <v>45</v>
      </c>
      <c r="AE18" s="1">
        <v>100</v>
      </c>
      <c r="AF18" s="32">
        <v>0.45</v>
      </c>
      <c r="AG18" s="1">
        <v>807</v>
      </c>
    </row>
    <row r="19" spans="1:33" x14ac:dyDescent="0.3">
      <c r="A19" s="1" t="s">
        <v>62</v>
      </c>
      <c r="B19" s="1" t="s">
        <v>92</v>
      </c>
      <c r="C19" s="1">
        <v>59</v>
      </c>
      <c r="D19" s="1">
        <v>100</v>
      </c>
      <c r="E19" s="32">
        <v>0.59</v>
      </c>
      <c r="F19" s="1">
        <v>91</v>
      </c>
      <c r="G19" s="1">
        <v>100</v>
      </c>
      <c r="H19" s="32">
        <v>0.91</v>
      </c>
      <c r="I19" s="1">
        <v>79</v>
      </c>
      <c r="J19" s="1">
        <v>100</v>
      </c>
      <c r="K19" s="32">
        <v>0.79</v>
      </c>
      <c r="L19" s="1">
        <v>62</v>
      </c>
      <c r="M19" s="1">
        <v>100</v>
      </c>
      <c r="N19" s="32">
        <v>0.62</v>
      </c>
      <c r="O19" s="1">
        <v>83</v>
      </c>
      <c r="P19" s="1">
        <v>100</v>
      </c>
      <c r="Q19" s="32">
        <v>0.83</v>
      </c>
      <c r="R19" s="1">
        <v>91</v>
      </c>
      <c r="S19" s="1">
        <v>100</v>
      </c>
      <c r="T19" s="32">
        <v>0.91</v>
      </c>
      <c r="U19" s="1">
        <v>45</v>
      </c>
      <c r="V19" s="1">
        <v>100</v>
      </c>
      <c r="W19" s="32">
        <v>0.45</v>
      </c>
      <c r="X19" s="1">
        <v>62</v>
      </c>
      <c r="Y19" s="1">
        <v>100</v>
      </c>
      <c r="Z19" s="32">
        <v>0.62</v>
      </c>
      <c r="AA19" s="1">
        <v>68</v>
      </c>
      <c r="AB19" s="1">
        <v>100</v>
      </c>
      <c r="AC19" s="32">
        <v>0.68</v>
      </c>
      <c r="AD19" s="1">
        <v>66</v>
      </c>
      <c r="AE19" s="1">
        <v>100</v>
      </c>
      <c r="AF19" s="32">
        <v>0.66</v>
      </c>
      <c r="AG19" s="1">
        <v>706</v>
      </c>
    </row>
    <row r="20" spans="1:33" x14ac:dyDescent="0.3">
      <c r="A20" s="1" t="s">
        <v>63</v>
      </c>
      <c r="B20" s="1" t="s">
        <v>93</v>
      </c>
      <c r="C20" s="1">
        <v>94</v>
      </c>
      <c r="D20" s="1">
        <v>100</v>
      </c>
      <c r="E20" s="32">
        <v>0.94</v>
      </c>
      <c r="F20" s="1">
        <v>85</v>
      </c>
      <c r="G20" s="1">
        <v>100</v>
      </c>
      <c r="H20" s="32">
        <v>0.85</v>
      </c>
      <c r="I20" s="1">
        <v>54</v>
      </c>
      <c r="J20" s="1">
        <v>100</v>
      </c>
      <c r="K20" s="32">
        <v>0.54</v>
      </c>
      <c r="L20" s="1">
        <v>52</v>
      </c>
      <c r="M20" s="1">
        <v>100</v>
      </c>
      <c r="N20" s="32">
        <v>0.52</v>
      </c>
      <c r="O20" s="1">
        <v>93</v>
      </c>
      <c r="P20" s="1">
        <v>100</v>
      </c>
      <c r="Q20" s="32">
        <v>0.93</v>
      </c>
      <c r="R20" s="1">
        <v>79</v>
      </c>
      <c r="S20" s="1">
        <v>100</v>
      </c>
      <c r="T20" s="32">
        <v>0.79</v>
      </c>
      <c r="U20" s="1">
        <v>66</v>
      </c>
      <c r="V20" s="1">
        <v>100</v>
      </c>
      <c r="W20" s="32">
        <v>0.66</v>
      </c>
      <c r="X20" s="1">
        <v>84</v>
      </c>
      <c r="Y20" s="1">
        <v>100</v>
      </c>
      <c r="Z20" s="32">
        <v>0.84</v>
      </c>
      <c r="AA20" s="1">
        <v>91</v>
      </c>
      <c r="AB20" s="1">
        <v>100</v>
      </c>
      <c r="AC20" s="32">
        <v>0.91</v>
      </c>
      <c r="AD20" s="1">
        <v>58</v>
      </c>
      <c r="AE20" s="1">
        <v>100</v>
      </c>
      <c r="AF20" s="32">
        <v>0.57999999999999996</v>
      </c>
      <c r="AG20" s="1">
        <v>756</v>
      </c>
    </row>
    <row r="21" spans="1:33" x14ac:dyDescent="0.3">
      <c r="A21" s="1" t="s">
        <v>64</v>
      </c>
      <c r="B21" s="1" t="s">
        <v>94</v>
      </c>
      <c r="C21" s="1">
        <v>51</v>
      </c>
      <c r="D21" s="1">
        <v>100</v>
      </c>
      <c r="E21" s="32">
        <v>0.51</v>
      </c>
      <c r="F21" s="1">
        <v>71</v>
      </c>
      <c r="G21" s="1">
        <v>100</v>
      </c>
      <c r="H21" s="32">
        <v>0.71</v>
      </c>
      <c r="I21" s="1">
        <v>68</v>
      </c>
      <c r="J21" s="1">
        <v>100</v>
      </c>
      <c r="K21" s="32">
        <v>0.68</v>
      </c>
      <c r="L21" s="1">
        <v>40</v>
      </c>
      <c r="M21" s="1">
        <v>100</v>
      </c>
      <c r="N21" s="32">
        <v>0.4</v>
      </c>
      <c r="O21" s="1">
        <v>70</v>
      </c>
      <c r="P21" s="1">
        <v>100</v>
      </c>
      <c r="Q21" s="32">
        <v>0.7</v>
      </c>
      <c r="R21" s="1">
        <v>64</v>
      </c>
      <c r="S21" s="1">
        <v>100</v>
      </c>
      <c r="T21" s="32">
        <v>0.64</v>
      </c>
      <c r="U21" s="1">
        <v>70</v>
      </c>
      <c r="V21" s="1">
        <v>100</v>
      </c>
      <c r="W21" s="32">
        <v>0.7</v>
      </c>
      <c r="X21" s="1">
        <v>78</v>
      </c>
      <c r="Y21" s="1">
        <v>100</v>
      </c>
      <c r="Z21" s="32">
        <v>0.78</v>
      </c>
      <c r="AA21" s="1">
        <v>92</v>
      </c>
      <c r="AB21" s="1">
        <v>100</v>
      </c>
      <c r="AC21" s="32">
        <v>0.92</v>
      </c>
      <c r="AD21" s="1">
        <v>81</v>
      </c>
      <c r="AE21" s="1">
        <v>100</v>
      </c>
      <c r="AF21" s="32">
        <v>0.81</v>
      </c>
      <c r="AG21" s="1">
        <v>685</v>
      </c>
    </row>
    <row r="22" spans="1:33" x14ac:dyDescent="0.3">
      <c r="A22" s="1" t="s">
        <v>65</v>
      </c>
      <c r="B22" s="1" t="s">
        <v>95</v>
      </c>
      <c r="C22" s="1">
        <v>81</v>
      </c>
      <c r="D22" s="1">
        <v>100</v>
      </c>
      <c r="E22" s="32">
        <v>0.81</v>
      </c>
      <c r="F22" s="1">
        <v>79</v>
      </c>
      <c r="G22" s="1">
        <v>100</v>
      </c>
      <c r="H22" s="32">
        <v>0.79</v>
      </c>
      <c r="I22" s="1">
        <v>44</v>
      </c>
      <c r="J22" s="1">
        <v>100</v>
      </c>
      <c r="K22" s="32">
        <v>0.44</v>
      </c>
      <c r="L22" s="1">
        <v>65</v>
      </c>
      <c r="M22" s="1">
        <v>100</v>
      </c>
      <c r="N22" s="32">
        <v>0.65</v>
      </c>
      <c r="O22" s="1">
        <v>84</v>
      </c>
      <c r="P22" s="1">
        <v>100</v>
      </c>
      <c r="Q22" s="32">
        <v>0.84</v>
      </c>
      <c r="R22" s="1">
        <v>67</v>
      </c>
      <c r="S22" s="1">
        <v>100</v>
      </c>
      <c r="T22" s="32">
        <v>0.67</v>
      </c>
      <c r="U22" s="1">
        <v>94</v>
      </c>
      <c r="V22" s="1">
        <v>100</v>
      </c>
      <c r="W22" s="32">
        <v>0.94</v>
      </c>
      <c r="X22" s="1">
        <v>89</v>
      </c>
      <c r="Y22" s="1">
        <v>100</v>
      </c>
      <c r="Z22" s="32">
        <v>0.89</v>
      </c>
      <c r="AA22" s="1">
        <v>68</v>
      </c>
      <c r="AB22" s="1">
        <v>100</v>
      </c>
      <c r="AC22" s="32">
        <v>0.68</v>
      </c>
      <c r="AD22" s="1">
        <v>91</v>
      </c>
      <c r="AE22" s="1">
        <v>100</v>
      </c>
      <c r="AF22" s="32">
        <v>0.91</v>
      </c>
      <c r="AG22" s="1">
        <v>762</v>
      </c>
    </row>
    <row r="23" spans="1:33" x14ac:dyDescent="0.3">
      <c r="A23" s="1" t="s">
        <v>66</v>
      </c>
      <c r="B23" s="1" t="s">
        <v>96</v>
      </c>
      <c r="C23" s="1">
        <v>71</v>
      </c>
      <c r="D23" s="1">
        <v>100</v>
      </c>
      <c r="E23" s="32">
        <v>0.71</v>
      </c>
      <c r="F23" s="1">
        <v>98</v>
      </c>
      <c r="G23" s="1">
        <v>100</v>
      </c>
      <c r="H23" s="32">
        <v>0.98</v>
      </c>
      <c r="I23" s="1">
        <v>66</v>
      </c>
      <c r="J23" s="1">
        <v>100</v>
      </c>
      <c r="K23" s="32">
        <v>0.66</v>
      </c>
      <c r="L23" s="1">
        <v>65</v>
      </c>
      <c r="M23" s="1">
        <v>100</v>
      </c>
      <c r="N23" s="32">
        <v>0.65</v>
      </c>
      <c r="O23" s="1">
        <v>43</v>
      </c>
      <c r="P23" s="1">
        <v>100</v>
      </c>
      <c r="Q23" s="32">
        <v>0.43</v>
      </c>
      <c r="R23" s="1">
        <v>50</v>
      </c>
      <c r="S23" s="1">
        <v>100</v>
      </c>
      <c r="T23" s="32">
        <v>0.5</v>
      </c>
      <c r="U23" s="1">
        <v>95</v>
      </c>
      <c r="V23" s="1">
        <v>100</v>
      </c>
      <c r="W23" s="32">
        <v>0.95</v>
      </c>
      <c r="X23" s="1">
        <v>99</v>
      </c>
      <c r="Y23" s="1">
        <v>100</v>
      </c>
      <c r="Z23" s="32">
        <v>0.99</v>
      </c>
      <c r="AA23" s="1">
        <v>84</v>
      </c>
      <c r="AB23" s="1">
        <v>100</v>
      </c>
      <c r="AC23" s="32">
        <v>0.84</v>
      </c>
      <c r="AD23" s="1">
        <v>80</v>
      </c>
      <c r="AE23" s="1">
        <v>100</v>
      </c>
      <c r="AF23" s="32">
        <v>0.8</v>
      </c>
      <c r="AG23" s="1">
        <v>751</v>
      </c>
    </row>
    <row r="24" spans="1:33" x14ac:dyDescent="0.3">
      <c r="A24" s="1" t="s">
        <v>67</v>
      </c>
      <c r="B24" s="1" t="s">
        <v>97</v>
      </c>
      <c r="C24" s="1">
        <v>53</v>
      </c>
      <c r="D24" s="1">
        <v>100</v>
      </c>
      <c r="E24" s="32">
        <v>0.53</v>
      </c>
      <c r="F24" s="1">
        <v>46</v>
      </c>
      <c r="G24" s="1">
        <v>100</v>
      </c>
      <c r="H24" s="32">
        <v>0.46</v>
      </c>
      <c r="I24" s="1">
        <v>59</v>
      </c>
      <c r="J24" s="1">
        <v>100</v>
      </c>
      <c r="K24" s="32">
        <v>0.59</v>
      </c>
      <c r="L24" s="1">
        <v>59</v>
      </c>
      <c r="M24" s="1">
        <v>100</v>
      </c>
      <c r="N24" s="32">
        <v>0.59</v>
      </c>
      <c r="O24" s="1">
        <v>77</v>
      </c>
      <c r="P24" s="1">
        <v>100</v>
      </c>
      <c r="Q24" s="32">
        <v>0.77</v>
      </c>
      <c r="R24" s="1">
        <v>94</v>
      </c>
      <c r="S24" s="1">
        <v>100</v>
      </c>
      <c r="T24" s="32">
        <v>0.94</v>
      </c>
      <c r="U24" s="1">
        <v>78</v>
      </c>
      <c r="V24" s="1">
        <v>100</v>
      </c>
      <c r="W24" s="32">
        <v>0.78</v>
      </c>
      <c r="X24" s="1">
        <v>69</v>
      </c>
      <c r="Y24" s="1">
        <v>100</v>
      </c>
      <c r="Z24" s="32">
        <v>0.69</v>
      </c>
      <c r="AA24" s="1">
        <v>67</v>
      </c>
      <c r="AB24" s="1">
        <v>100</v>
      </c>
      <c r="AC24" s="32">
        <v>0.67</v>
      </c>
      <c r="AD24" s="1">
        <v>58</v>
      </c>
      <c r="AE24" s="1">
        <v>100</v>
      </c>
      <c r="AF24" s="32">
        <v>0.57999999999999996</v>
      </c>
      <c r="AG24" s="1">
        <v>660</v>
      </c>
    </row>
    <row r="25" spans="1:33" x14ac:dyDescent="0.3">
      <c r="A25" s="1" t="s">
        <v>68</v>
      </c>
      <c r="B25" s="1" t="s">
        <v>98</v>
      </c>
      <c r="C25" s="1">
        <v>69</v>
      </c>
      <c r="D25" s="1">
        <v>100</v>
      </c>
      <c r="E25" s="32">
        <v>0.69</v>
      </c>
      <c r="F25" s="1">
        <v>64</v>
      </c>
      <c r="G25" s="1">
        <v>100</v>
      </c>
      <c r="H25" s="32">
        <v>0.64</v>
      </c>
      <c r="I25" s="1">
        <v>57</v>
      </c>
      <c r="J25" s="1">
        <v>100</v>
      </c>
      <c r="K25" s="32">
        <v>0.56999999999999995</v>
      </c>
      <c r="L25" s="1">
        <v>42</v>
      </c>
      <c r="M25" s="1">
        <v>100</v>
      </c>
      <c r="N25" s="32">
        <v>0.42</v>
      </c>
      <c r="O25" s="1">
        <v>63</v>
      </c>
      <c r="P25" s="1">
        <v>100</v>
      </c>
      <c r="Q25" s="32">
        <v>0.63</v>
      </c>
      <c r="R25" s="1">
        <v>51</v>
      </c>
      <c r="S25" s="1">
        <v>100</v>
      </c>
      <c r="T25" s="32">
        <v>0.51</v>
      </c>
      <c r="U25" s="1">
        <v>48</v>
      </c>
      <c r="V25" s="1">
        <v>100</v>
      </c>
      <c r="W25" s="32">
        <v>0.48</v>
      </c>
      <c r="X25" s="1">
        <v>77</v>
      </c>
      <c r="Y25" s="1">
        <v>100</v>
      </c>
      <c r="Z25" s="32">
        <v>0.77</v>
      </c>
      <c r="AA25" s="1">
        <v>75</v>
      </c>
      <c r="AB25" s="1">
        <v>100</v>
      </c>
      <c r="AC25" s="32">
        <v>0.75</v>
      </c>
      <c r="AD25" s="1">
        <v>94</v>
      </c>
      <c r="AE25" s="1">
        <v>100</v>
      </c>
      <c r="AF25" s="32">
        <v>0.94</v>
      </c>
      <c r="AG25" s="1">
        <v>640</v>
      </c>
    </row>
    <row r="26" spans="1:33" x14ac:dyDescent="0.3">
      <c r="A26" s="1" t="s">
        <v>69</v>
      </c>
      <c r="B26" s="1" t="s">
        <v>99</v>
      </c>
      <c r="C26" s="1">
        <v>88</v>
      </c>
      <c r="D26" s="1">
        <v>100</v>
      </c>
      <c r="E26" s="32">
        <v>0.88</v>
      </c>
      <c r="F26" s="1">
        <v>73</v>
      </c>
      <c r="G26" s="1">
        <v>100</v>
      </c>
      <c r="H26" s="32">
        <v>0.73</v>
      </c>
      <c r="I26" s="1">
        <v>88</v>
      </c>
      <c r="J26" s="1">
        <v>100</v>
      </c>
      <c r="K26" s="32">
        <v>0.88</v>
      </c>
      <c r="L26" s="1">
        <v>97</v>
      </c>
      <c r="M26" s="1">
        <v>100</v>
      </c>
      <c r="N26" s="32">
        <v>0.97</v>
      </c>
      <c r="O26" s="1">
        <v>96</v>
      </c>
      <c r="P26" s="1">
        <v>100</v>
      </c>
      <c r="Q26" s="32">
        <v>0.96</v>
      </c>
      <c r="R26" s="1">
        <v>45</v>
      </c>
      <c r="S26" s="1">
        <v>100</v>
      </c>
      <c r="T26" s="32">
        <v>0.45</v>
      </c>
      <c r="U26" s="1">
        <v>48</v>
      </c>
      <c r="V26" s="1">
        <v>100</v>
      </c>
      <c r="W26" s="32">
        <v>0.48</v>
      </c>
      <c r="X26" s="1">
        <v>95</v>
      </c>
      <c r="Y26" s="1">
        <v>100</v>
      </c>
      <c r="Z26" s="32">
        <v>0.95</v>
      </c>
      <c r="AA26" s="1">
        <v>62</v>
      </c>
      <c r="AB26" s="1">
        <v>100</v>
      </c>
      <c r="AC26" s="32">
        <v>0.62</v>
      </c>
      <c r="AD26" s="1">
        <v>69</v>
      </c>
      <c r="AE26" s="1">
        <v>100</v>
      </c>
      <c r="AF26" s="32">
        <v>0.69</v>
      </c>
      <c r="AG26" s="1">
        <v>761</v>
      </c>
    </row>
    <row r="27" spans="1:33" x14ac:dyDescent="0.3">
      <c r="A27" s="1" t="s">
        <v>70</v>
      </c>
      <c r="B27" s="30" t="s">
        <v>100</v>
      </c>
      <c r="C27" s="1">
        <v>63</v>
      </c>
      <c r="D27" s="1">
        <v>100</v>
      </c>
      <c r="E27" s="32">
        <v>0.63</v>
      </c>
      <c r="F27" s="1">
        <v>75</v>
      </c>
      <c r="G27" s="1">
        <v>100</v>
      </c>
      <c r="H27" s="32">
        <v>0.75</v>
      </c>
      <c r="I27" s="1">
        <v>71</v>
      </c>
      <c r="J27" s="1">
        <v>100</v>
      </c>
      <c r="K27" s="32">
        <v>0.71</v>
      </c>
      <c r="L27" s="1">
        <v>69</v>
      </c>
      <c r="M27" s="1">
        <v>100</v>
      </c>
      <c r="N27" s="32">
        <v>0.69</v>
      </c>
      <c r="O27" s="1">
        <v>88</v>
      </c>
      <c r="P27" s="1">
        <v>100</v>
      </c>
      <c r="Q27" s="32">
        <v>0.88</v>
      </c>
      <c r="R27" s="1">
        <v>84</v>
      </c>
      <c r="S27" s="1">
        <v>100</v>
      </c>
      <c r="T27" s="32">
        <v>0.84</v>
      </c>
      <c r="U27" s="1">
        <v>52</v>
      </c>
      <c r="V27" s="1">
        <v>100</v>
      </c>
      <c r="W27" s="32">
        <v>0.52</v>
      </c>
      <c r="X27" s="1">
        <v>62</v>
      </c>
      <c r="Y27" s="1">
        <v>100</v>
      </c>
      <c r="Z27" s="32">
        <v>0.62</v>
      </c>
      <c r="AA27" s="1">
        <v>89</v>
      </c>
      <c r="AB27" s="1">
        <v>100</v>
      </c>
      <c r="AC27" s="32">
        <v>0.89</v>
      </c>
      <c r="AD27" s="1">
        <v>73</v>
      </c>
      <c r="AE27" s="1">
        <v>100</v>
      </c>
      <c r="AF27" s="32">
        <v>0.73</v>
      </c>
      <c r="AG27" s="1">
        <v>726</v>
      </c>
    </row>
    <row r="28" spans="1:33" x14ac:dyDescent="0.3">
      <c r="A28" s="1" t="s">
        <v>71</v>
      </c>
      <c r="B28" s="30" t="s">
        <v>101</v>
      </c>
      <c r="C28" s="1">
        <v>41</v>
      </c>
      <c r="D28" s="1">
        <v>100</v>
      </c>
      <c r="E28" s="32">
        <v>0.41</v>
      </c>
      <c r="F28" s="1">
        <v>66</v>
      </c>
      <c r="G28" s="1">
        <v>100</v>
      </c>
      <c r="H28" s="32">
        <v>0.66</v>
      </c>
      <c r="I28" s="1">
        <v>97</v>
      </c>
      <c r="J28" s="1">
        <v>100</v>
      </c>
      <c r="K28" s="32">
        <v>0.97</v>
      </c>
      <c r="L28" s="1">
        <v>71</v>
      </c>
      <c r="M28" s="1">
        <v>100</v>
      </c>
      <c r="N28" s="32">
        <v>0.71</v>
      </c>
      <c r="O28" s="1">
        <v>62</v>
      </c>
      <c r="P28" s="1">
        <v>100</v>
      </c>
      <c r="Q28" s="32">
        <v>0.62</v>
      </c>
      <c r="R28" s="1">
        <v>69</v>
      </c>
      <c r="S28" s="1">
        <v>100</v>
      </c>
      <c r="T28" s="32">
        <v>0.69</v>
      </c>
      <c r="U28" s="1">
        <v>93</v>
      </c>
      <c r="V28" s="1">
        <v>100</v>
      </c>
      <c r="W28" s="32">
        <v>0.93</v>
      </c>
      <c r="X28" s="1">
        <v>40</v>
      </c>
      <c r="Y28" s="1">
        <v>100</v>
      </c>
      <c r="Z28" s="32">
        <v>0.4</v>
      </c>
      <c r="AA28" s="1">
        <v>47</v>
      </c>
      <c r="AB28" s="1">
        <v>100</v>
      </c>
      <c r="AC28" s="32">
        <v>0.47</v>
      </c>
      <c r="AD28" s="1">
        <v>91</v>
      </c>
      <c r="AE28" s="1">
        <v>100</v>
      </c>
      <c r="AF28" s="32">
        <v>0.91</v>
      </c>
      <c r="AG28" s="1">
        <v>677</v>
      </c>
    </row>
    <row r="29" spans="1:33" x14ac:dyDescent="0.3">
      <c r="A29" s="1" t="s">
        <v>72</v>
      </c>
      <c r="B29" s="30" t="s">
        <v>102</v>
      </c>
      <c r="C29" s="1">
        <v>51</v>
      </c>
      <c r="D29" s="1">
        <v>100</v>
      </c>
      <c r="E29" s="32">
        <v>0.51</v>
      </c>
      <c r="F29" s="1">
        <v>67</v>
      </c>
      <c r="G29" s="1">
        <v>100</v>
      </c>
      <c r="H29" s="32">
        <v>0.67</v>
      </c>
      <c r="I29" s="1">
        <v>90</v>
      </c>
      <c r="J29" s="1">
        <v>100</v>
      </c>
      <c r="K29" s="32">
        <v>0.9</v>
      </c>
      <c r="L29" s="1">
        <v>40</v>
      </c>
      <c r="M29" s="1">
        <v>100</v>
      </c>
      <c r="N29" s="32">
        <v>0.4</v>
      </c>
      <c r="O29" s="1">
        <v>98</v>
      </c>
      <c r="P29" s="1">
        <v>100</v>
      </c>
      <c r="Q29" s="32">
        <v>0.98</v>
      </c>
      <c r="R29" s="1">
        <v>60</v>
      </c>
      <c r="S29" s="1">
        <v>100</v>
      </c>
      <c r="T29" s="32">
        <v>0.6</v>
      </c>
      <c r="U29" s="1">
        <v>79</v>
      </c>
      <c r="V29" s="1">
        <v>100</v>
      </c>
      <c r="W29" s="32">
        <v>0.79</v>
      </c>
      <c r="X29" s="1">
        <v>92</v>
      </c>
      <c r="Y29" s="1">
        <v>100</v>
      </c>
      <c r="Z29" s="32">
        <v>0.92</v>
      </c>
      <c r="AA29" s="1">
        <v>62</v>
      </c>
      <c r="AB29" s="1">
        <v>100</v>
      </c>
      <c r="AC29" s="32">
        <v>0.62</v>
      </c>
      <c r="AD29" s="1">
        <v>96</v>
      </c>
      <c r="AE29" s="1">
        <v>100</v>
      </c>
      <c r="AF29" s="32">
        <v>0.96</v>
      </c>
      <c r="AG29" s="1">
        <v>735</v>
      </c>
    </row>
    <row r="30" spans="1:33" x14ac:dyDescent="0.3">
      <c r="A30" s="1" t="s">
        <v>73</v>
      </c>
      <c r="B30" s="30" t="s">
        <v>103</v>
      </c>
      <c r="C30" s="1">
        <v>60</v>
      </c>
      <c r="D30" s="1">
        <v>100</v>
      </c>
      <c r="E30" s="32">
        <v>0.6</v>
      </c>
      <c r="F30" s="1">
        <v>94</v>
      </c>
      <c r="G30" s="1">
        <v>100</v>
      </c>
      <c r="H30" s="32">
        <v>0.94</v>
      </c>
      <c r="I30" s="1">
        <v>57</v>
      </c>
      <c r="J30" s="1">
        <v>100</v>
      </c>
      <c r="K30" s="32">
        <v>0.56999999999999995</v>
      </c>
      <c r="L30" s="1">
        <v>55</v>
      </c>
      <c r="M30" s="1">
        <v>100</v>
      </c>
      <c r="N30" s="32">
        <v>0.55000000000000004</v>
      </c>
      <c r="O30" s="1">
        <v>78</v>
      </c>
      <c r="P30" s="1">
        <v>100</v>
      </c>
      <c r="Q30" s="32">
        <v>0.78</v>
      </c>
      <c r="R30" s="1">
        <v>76</v>
      </c>
      <c r="S30" s="1">
        <v>100</v>
      </c>
      <c r="T30" s="32">
        <v>0.76</v>
      </c>
      <c r="U30" s="1">
        <v>76</v>
      </c>
      <c r="V30" s="1">
        <v>100</v>
      </c>
      <c r="W30" s="32">
        <v>0.76</v>
      </c>
      <c r="X30" s="1">
        <v>47</v>
      </c>
      <c r="Y30" s="1">
        <v>100</v>
      </c>
      <c r="Z30" s="32">
        <v>0.47</v>
      </c>
      <c r="AA30" s="1">
        <v>63</v>
      </c>
      <c r="AB30" s="1">
        <v>100</v>
      </c>
      <c r="AC30" s="32">
        <v>0.63</v>
      </c>
      <c r="AD30" s="1">
        <v>69</v>
      </c>
      <c r="AE30" s="1">
        <v>100</v>
      </c>
      <c r="AF30" s="32">
        <v>0.69</v>
      </c>
      <c r="AG30" s="1">
        <v>675</v>
      </c>
    </row>
    <row r="31" spans="1:33" x14ac:dyDescent="0.3">
      <c r="A31" s="1" t="s">
        <v>74</v>
      </c>
      <c r="B31" s="30" t="s">
        <v>104</v>
      </c>
      <c r="C31" s="1">
        <v>76</v>
      </c>
      <c r="D31" s="1">
        <v>100</v>
      </c>
      <c r="E31" s="32">
        <v>0.76</v>
      </c>
      <c r="F31" s="1">
        <v>85</v>
      </c>
      <c r="G31" s="1">
        <v>100</v>
      </c>
      <c r="H31" s="32">
        <v>0.85</v>
      </c>
      <c r="I31" s="1">
        <v>42</v>
      </c>
      <c r="J31" s="1">
        <v>100</v>
      </c>
      <c r="K31" s="32">
        <v>0.42</v>
      </c>
      <c r="L31" s="1">
        <v>47</v>
      </c>
      <c r="M31" s="1">
        <v>100</v>
      </c>
      <c r="N31" s="32">
        <v>0.47</v>
      </c>
      <c r="O31" s="1">
        <v>64</v>
      </c>
      <c r="P31" s="1">
        <v>100</v>
      </c>
      <c r="Q31" s="32">
        <v>0.64</v>
      </c>
      <c r="R31" s="1">
        <v>45</v>
      </c>
      <c r="S31" s="1">
        <v>100</v>
      </c>
      <c r="T31" s="32">
        <v>0.45</v>
      </c>
      <c r="U31" s="1">
        <v>46</v>
      </c>
      <c r="V31" s="1">
        <v>100</v>
      </c>
      <c r="W31" s="32">
        <v>0.46</v>
      </c>
      <c r="X31" s="1">
        <v>80</v>
      </c>
      <c r="Y31" s="1">
        <v>100</v>
      </c>
      <c r="Z31" s="32">
        <v>0.8</v>
      </c>
      <c r="AA31" s="1">
        <v>42</v>
      </c>
      <c r="AB31" s="1">
        <v>100</v>
      </c>
      <c r="AC31" s="32">
        <v>0.42</v>
      </c>
      <c r="AD31" s="1">
        <v>99</v>
      </c>
      <c r="AE31" s="1">
        <v>100</v>
      </c>
      <c r="AF31" s="32">
        <v>0.99</v>
      </c>
      <c r="AG31" s="1">
        <v>626</v>
      </c>
    </row>
    <row r="32" spans="1:33" x14ac:dyDescent="0.3">
      <c r="A32" s="1" t="s">
        <v>75</v>
      </c>
      <c r="B32" s="30" t="s">
        <v>105</v>
      </c>
      <c r="C32" s="1">
        <v>40</v>
      </c>
      <c r="D32" s="1">
        <v>100</v>
      </c>
      <c r="E32" s="32">
        <v>0.4</v>
      </c>
      <c r="F32" s="1">
        <v>55</v>
      </c>
      <c r="G32" s="1">
        <v>100</v>
      </c>
      <c r="H32" s="32">
        <v>0.55000000000000004</v>
      </c>
      <c r="I32" s="1">
        <v>60</v>
      </c>
      <c r="J32" s="1">
        <v>100</v>
      </c>
      <c r="K32" s="32">
        <v>0.6</v>
      </c>
      <c r="L32" s="1">
        <v>98</v>
      </c>
      <c r="M32" s="1">
        <v>100</v>
      </c>
      <c r="N32" s="32">
        <v>0.98</v>
      </c>
      <c r="O32" s="1">
        <v>98</v>
      </c>
      <c r="P32" s="1">
        <v>100</v>
      </c>
      <c r="Q32" s="32">
        <v>0.98</v>
      </c>
      <c r="R32" s="1">
        <v>42</v>
      </c>
      <c r="S32" s="1">
        <v>100</v>
      </c>
      <c r="T32" s="32">
        <v>0.42</v>
      </c>
      <c r="U32" s="1">
        <v>80</v>
      </c>
      <c r="V32" s="1">
        <v>100</v>
      </c>
      <c r="W32" s="32">
        <v>0.8</v>
      </c>
      <c r="X32" s="1">
        <v>44</v>
      </c>
      <c r="Y32" s="1">
        <v>100</v>
      </c>
      <c r="Z32" s="32">
        <v>0.44</v>
      </c>
      <c r="AA32" s="1">
        <v>85</v>
      </c>
      <c r="AB32" s="1">
        <v>100</v>
      </c>
      <c r="AC32" s="32">
        <v>0.85</v>
      </c>
      <c r="AD32" s="1">
        <v>55</v>
      </c>
      <c r="AE32" s="1">
        <v>100</v>
      </c>
      <c r="AF32" s="32">
        <v>0.55000000000000004</v>
      </c>
      <c r="AG32" s="1">
        <v>657</v>
      </c>
    </row>
    <row r="33" spans="1:33" x14ac:dyDescent="0.3">
      <c r="A33" s="1" t="s">
        <v>76</v>
      </c>
      <c r="B33" s="30" t="s">
        <v>106</v>
      </c>
      <c r="C33" s="1">
        <v>63</v>
      </c>
      <c r="D33" s="1">
        <v>100</v>
      </c>
      <c r="E33" s="32">
        <v>0.63</v>
      </c>
      <c r="F33" s="1">
        <v>83</v>
      </c>
      <c r="G33" s="1">
        <v>100</v>
      </c>
      <c r="H33" s="32">
        <v>0.83</v>
      </c>
      <c r="I33" s="1">
        <v>64</v>
      </c>
      <c r="J33" s="1">
        <v>100</v>
      </c>
      <c r="K33" s="32">
        <v>0.64</v>
      </c>
      <c r="L33" s="1">
        <v>91</v>
      </c>
      <c r="M33" s="1">
        <v>100</v>
      </c>
      <c r="N33" s="32">
        <v>0.91</v>
      </c>
      <c r="O33" s="1">
        <v>81</v>
      </c>
      <c r="P33" s="1">
        <v>100</v>
      </c>
      <c r="Q33" s="32">
        <v>0.81</v>
      </c>
      <c r="R33" s="1">
        <v>89</v>
      </c>
      <c r="S33" s="1">
        <v>100</v>
      </c>
      <c r="T33" s="32">
        <v>0.89</v>
      </c>
      <c r="U33" s="1">
        <v>47</v>
      </c>
      <c r="V33" s="1">
        <v>100</v>
      </c>
      <c r="W33" s="32">
        <v>0.47</v>
      </c>
      <c r="X33" s="1">
        <v>79</v>
      </c>
      <c r="Y33" s="1">
        <v>100</v>
      </c>
      <c r="Z33" s="32">
        <v>0.79</v>
      </c>
      <c r="AA33" s="1">
        <v>99</v>
      </c>
      <c r="AB33" s="1">
        <v>100</v>
      </c>
      <c r="AC33" s="32">
        <v>0.99</v>
      </c>
      <c r="AD33" s="1">
        <v>54</v>
      </c>
      <c r="AE33" s="1">
        <v>100</v>
      </c>
      <c r="AF33" s="32">
        <v>0.54</v>
      </c>
      <c r="AG33" s="1">
        <v>750</v>
      </c>
    </row>
    <row r="34" spans="1:33" x14ac:dyDescent="0.3">
      <c r="A34" s="1" t="s">
        <v>77</v>
      </c>
      <c r="B34" s="30" t="s">
        <v>107</v>
      </c>
      <c r="C34" s="1">
        <v>45</v>
      </c>
      <c r="D34" s="1">
        <v>100</v>
      </c>
      <c r="E34" s="32">
        <v>0.45</v>
      </c>
      <c r="F34" s="1">
        <v>40</v>
      </c>
      <c r="G34" s="1">
        <v>100</v>
      </c>
      <c r="H34" s="32">
        <v>0.4</v>
      </c>
      <c r="I34" s="1">
        <v>40</v>
      </c>
      <c r="J34" s="1">
        <v>100</v>
      </c>
      <c r="K34" s="32">
        <v>0.4</v>
      </c>
      <c r="L34" s="1">
        <v>77</v>
      </c>
      <c r="M34" s="1">
        <v>100</v>
      </c>
      <c r="N34" s="32">
        <v>0.77</v>
      </c>
      <c r="O34" s="1">
        <v>64</v>
      </c>
      <c r="P34" s="1">
        <v>100</v>
      </c>
      <c r="Q34" s="32">
        <v>0.64</v>
      </c>
      <c r="R34" s="1">
        <v>57</v>
      </c>
      <c r="S34" s="1">
        <v>100</v>
      </c>
      <c r="T34" s="32">
        <v>0.56999999999999995</v>
      </c>
      <c r="U34" s="1">
        <v>40</v>
      </c>
      <c r="V34" s="1">
        <v>100</v>
      </c>
      <c r="W34" s="32">
        <v>0.4</v>
      </c>
      <c r="X34" s="1">
        <v>48</v>
      </c>
      <c r="Y34" s="1">
        <v>100</v>
      </c>
      <c r="Z34" s="32">
        <v>0.48</v>
      </c>
      <c r="AA34" s="1">
        <v>67</v>
      </c>
      <c r="AB34" s="1">
        <v>100</v>
      </c>
      <c r="AC34" s="32">
        <v>0.67</v>
      </c>
      <c r="AD34" s="1">
        <v>66</v>
      </c>
      <c r="AE34" s="1">
        <v>100</v>
      </c>
      <c r="AF34" s="32">
        <v>0.66</v>
      </c>
      <c r="AG34" s="1">
        <v>544</v>
      </c>
    </row>
    <row r="35" spans="1:33" x14ac:dyDescent="0.3">
      <c r="A35" s="1" t="s">
        <v>78</v>
      </c>
      <c r="B35" s="30" t="s">
        <v>108</v>
      </c>
      <c r="C35" s="1">
        <v>98</v>
      </c>
      <c r="D35" s="1">
        <v>100</v>
      </c>
      <c r="E35" s="32">
        <v>0.98</v>
      </c>
      <c r="F35" s="1">
        <v>44</v>
      </c>
      <c r="G35" s="1">
        <v>100</v>
      </c>
      <c r="H35" s="32">
        <v>0.44</v>
      </c>
      <c r="I35" s="1">
        <v>55</v>
      </c>
      <c r="J35" s="1">
        <v>100</v>
      </c>
      <c r="K35" s="32">
        <v>0.55000000000000004</v>
      </c>
      <c r="L35" s="1">
        <v>53</v>
      </c>
      <c r="M35" s="1">
        <v>100</v>
      </c>
      <c r="N35" s="32">
        <v>0.53</v>
      </c>
      <c r="O35" s="1">
        <v>77</v>
      </c>
      <c r="P35" s="1">
        <v>100</v>
      </c>
      <c r="Q35" s="32">
        <v>0.77</v>
      </c>
      <c r="R35" s="1">
        <v>48</v>
      </c>
      <c r="S35" s="1">
        <v>100</v>
      </c>
      <c r="T35" s="32">
        <v>0.48</v>
      </c>
      <c r="U35" s="1">
        <v>73</v>
      </c>
      <c r="V35" s="1">
        <v>100</v>
      </c>
      <c r="W35" s="32">
        <v>0.73</v>
      </c>
      <c r="X35" s="1">
        <v>56</v>
      </c>
      <c r="Y35" s="1">
        <v>100</v>
      </c>
      <c r="Z35" s="32">
        <v>0.56000000000000005</v>
      </c>
      <c r="AA35" s="1">
        <v>57</v>
      </c>
      <c r="AB35" s="1">
        <v>100</v>
      </c>
      <c r="AC35" s="32">
        <v>0.56999999999999995</v>
      </c>
      <c r="AD35" s="1">
        <v>96</v>
      </c>
      <c r="AE35" s="1">
        <v>100</v>
      </c>
      <c r="AF35" s="32">
        <v>0.96</v>
      </c>
      <c r="AG35" s="1">
        <v>657</v>
      </c>
    </row>
    <row r="36" spans="1:33" x14ac:dyDescent="0.3">
      <c r="A36" s="1" t="s">
        <v>79</v>
      </c>
      <c r="B36" s="30" t="s">
        <v>109</v>
      </c>
      <c r="C36" s="1">
        <v>74</v>
      </c>
      <c r="D36" s="1">
        <v>100</v>
      </c>
      <c r="E36" s="32">
        <v>0.74</v>
      </c>
      <c r="F36" s="1">
        <v>58</v>
      </c>
      <c r="G36" s="1">
        <v>100</v>
      </c>
      <c r="H36" s="32">
        <v>0.57999999999999996</v>
      </c>
      <c r="I36" s="1">
        <v>56</v>
      </c>
      <c r="J36" s="1">
        <v>100</v>
      </c>
      <c r="K36" s="32">
        <v>0.56000000000000005</v>
      </c>
      <c r="L36" s="1">
        <v>81</v>
      </c>
      <c r="M36" s="1">
        <v>100</v>
      </c>
      <c r="N36" s="32">
        <v>0.81</v>
      </c>
      <c r="O36" s="1">
        <v>43</v>
      </c>
      <c r="P36" s="1">
        <v>100</v>
      </c>
      <c r="Q36" s="32">
        <v>0.43</v>
      </c>
      <c r="R36" s="1">
        <v>99</v>
      </c>
      <c r="S36" s="1">
        <v>100</v>
      </c>
      <c r="T36" s="32">
        <v>0.99</v>
      </c>
      <c r="U36" s="1">
        <v>44</v>
      </c>
      <c r="V36" s="1">
        <v>100</v>
      </c>
      <c r="W36" s="32">
        <v>0.44</v>
      </c>
      <c r="X36" s="1">
        <v>69</v>
      </c>
      <c r="Y36" s="1">
        <v>100</v>
      </c>
      <c r="Z36" s="32">
        <v>0.69</v>
      </c>
      <c r="AA36" s="1">
        <v>86</v>
      </c>
      <c r="AB36" s="1">
        <v>100</v>
      </c>
      <c r="AC36" s="32">
        <v>0.86</v>
      </c>
      <c r="AD36" s="1">
        <v>85</v>
      </c>
      <c r="AE36" s="1">
        <v>100</v>
      </c>
      <c r="AF36" s="32">
        <v>0.85</v>
      </c>
      <c r="AG36" s="1">
        <v>695</v>
      </c>
    </row>
    <row r="37" spans="1:33" x14ac:dyDescent="0.3">
      <c r="A37" s="1" t="s">
        <v>80</v>
      </c>
      <c r="B37" s="30" t="s">
        <v>110</v>
      </c>
      <c r="C37" s="1">
        <v>55</v>
      </c>
      <c r="D37" s="1">
        <v>100</v>
      </c>
      <c r="E37" s="32">
        <v>0.55000000000000004</v>
      </c>
      <c r="F37" s="1">
        <v>63</v>
      </c>
      <c r="G37" s="1">
        <v>100</v>
      </c>
      <c r="H37" s="32">
        <v>0.63</v>
      </c>
      <c r="I37" s="1">
        <v>52</v>
      </c>
      <c r="J37" s="1">
        <v>100</v>
      </c>
      <c r="K37" s="32">
        <v>0.52</v>
      </c>
      <c r="L37" s="1">
        <v>44</v>
      </c>
      <c r="M37" s="1">
        <v>100</v>
      </c>
      <c r="N37" s="32">
        <v>0.44</v>
      </c>
      <c r="O37" s="1">
        <v>89</v>
      </c>
      <c r="P37" s="1">
        <v>100</v>
      </c>
      <c r="Q37" s="32">
        <v>0.89</v>
      </c>
      <c r="R37" s="1">
        <v>59</v>
      </c>
      <c r="S37" s="1">
        <v>100</v>
      </c>
      <c r="T37" s="32">
        <v>0.59</v>
      </c>
      <c r="U37" s="1">
        <v>73</v>
      </c>
      <c r="V37" s="1">
        <v>100</v>
      </c>
      <c r="W37" s="32">
        <v>0.73</v>
      </c>
      <c r="X37" s="1">
        <v>50</v>
      </c>
      <c r="Y37" s="1">
        <v>100</v>
      </c>
      <c r="Z37" s="32">
        <v>0.5</v>
      </c>
      <c r="AA37" s="1">
        <v>73</v>
      </c>
      <c r="AB37" s="1">
        <v>100</v>
      </c>
      <c r="AC37" s="32">
        <v>0.73</v>
      </c>
      <c r="AD37" s="1">
        <v>74</v>
      </c>
      <c r="AE37" s="1">
        <v>100</v>
      </c>
      <c r="AF37" s="32">
        <v>0.74</v>
      </c>
      <c r="AG37" s="1">
        <v>632</v>
      </c>
    </row>
    <row r="38" spans="1:33" x14ac:dyDescent="0.3">
      <c r="B38" s="31"/>
    </row>
    <row r="39" spans="1:33" x14ac:dyDescent="0.3">
      <c r="B39" s="31"/>
    </row>
    <row r="40" spans="1:33" x14ac:dyDescent="0.3">
      <c r="B40" s="31"/>
    </row>
    <row r="41" spans="1:33" x14ac:dyDescent="0.3">
      <c r="B41" s="31"/>
    </row>
    <row r="42" spans="1:33" x14ac:dyDescent="0.3">
      <c r="B42" s="31"/>
    </row>
    <row r="43" spans="1:33" x14ac:dyDescent="0.3">
      <c r="B43" s="31"/>
    </row>
  </sheetData>
  <mergeCells count="15">
    <mergeCell ref="A1:AF1"/>
    <mergeCell ref="U6:W6"/>
    <mergeCell ref="R6:T6"/>
    <mergeCell ref="O6:Q6"/>
    <mergeCell ref="L6:N6"/>
    <mergeCell ref="I6:K6"/>
    <mergeCell ref="A5:B6"/>
    <mergeCell ref="AD6:AF6"/>
    <mergeCell ref="AA6:AC6"/>
    <mergeCell ref="X6:Z6"/>
    <mergeCell ref="AG6:AG7"/>
    <mergeCell ref="C2:AF4"/>
    <mergeCell ref="C6:E6"/>
    <mergeCell ref="F6:H6"/>
    <mergeCell ref="C5:AF5"/>
  </mergeCells>
  <phoneticPr fontId="1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90CC-3295-41B4-94A9-300E4A2EB33B}">
  <dimension ref="A1:J22"/>
  <sheetViews>
    <sheetView showGridLines="0" zoomScaleNormal="100" workbookViewId="0">
      <selection activeCell="F9" sqref="F9"/>
    </sheetView>
  </sheetViews>
  <sheetFormatPr defaultRowHeight="14.4" x14ac:dyDescent="0.3"/>
  <cols>
    <col min="1" max="1" width="21.21875" customWidth="1"/>
    <col min="2" max="9" width="9.5546875" customWidth="1"/>
    <col min="10" max="10" width="34.5546875" customWidth="1"/>
  </cols>
  <sheetData>
    <row r="1" spans="1:10" ht="14.55" customHeight="1" x14ac:dyDescent="0.3">
      <c r="A1" s="58" t="s">
        <v>19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ht="15" customHeight="1" thickBot="1" x14ac:dyDescent="0.35">
      <c r="A2" s="61"/>
      <c r="B2" s="62"/>
      <c r="C2" s="62"/>
      <c r="D2" s="62"/>
      <c r="E2" s="62"/>
      <c r="F2" s="62"/>
      <c r="G2" s="62"/>
      <c r="H2" s="62"/>
      <c r="I2" s="62"/>
      <c r="J2" s="63"/>
    </row>
    <row r="3" spans="1:10" ht="18.45" customHeight="1" thickBot="1" x14ac:dyDescent="0.35">
      <c r="A3" s="16" t="s">
        <v>15</v>
      </c>
      <c r="B3" s="64" t="s">
        <v>49</v>
      </c>
      <c r="C3" s="64"/>
      <c r="D3" s="65"/>
      <c r="E3" s="66"/>
      <c r="F3" s="78"/>
      <c r="G3" s="78"/>
      <c r="H3" s="78"/>
      <c r="I3" s="78"/>
      <c r="J3" s="79"/>
    </row>
    <row r="4" spans="1:10" ht="18.45" customHeight="1" thickBot="1" x14ac:dyDescent="0.35">
      <c r="A4" s="17" t="s">
        <v>16</v>
      </c>
      <c r="B4" s="67">
        <f ca="1">TODAY()</f>
        <v>46082</v>
      </c>
      <c r="C4" s="67"/>
      <c r="D4" s="68"/>
      <c r="E4" s="69"/>
      <c r="F4" s="80"/>
      <c r="G4" s="80"/>
      <c r="H4" s="80"/>
      <c r="I4" s="80"/>
      <c r="J4" s="81"/>
    </row>
    <row r="5" spans="1:10" ht="18.45" customHeight="1" thickBot="1" x14ac:dyDescent="0.35">
      <c r="A5" s="17" t="s">
        <v>1</v>
      </c>
      <c r="B5" s="70" t="s">
        <v>51</v>
      </c>
      <c r="C5" s="70"/>
      <c r="D5" s="71"/>
      <c r="E5" s="72"/>
      <c r="F5" s="80"/>
      <c r="G5" s="80"/>
      <c r="H5" s="80"/>
      <c r="I5" s="80"/>
      <c r="J5" s="81"/>
    </row>
    <row r="6" spans="1:10" ht="18.45" customHeight="1" thickBot="1" x14ac:dyDescent="0.35">
      <c r="A6" s="17" t="s">
        <v>0</v>
      </c>
      <c r="B6" s="70" t="str">
        <f>VLOOKUP(B5,'Master Sheet'!A8:B37,2,0)</f>
        <v>Kai Le</v>
      </c>
      <c r="C6" s="70"/>
      <c r="D6" s="71"/>
      <c r="E6" s="72"/>
      <c r="F6" s="80"/>
      <c r="G6" s="80"/>
      <c r="H6" s="80"/>
      <c r="I6" s="80"/>
      <c r="J6" s="81"/>
    </row>
    <row r="7" spans="1:10" ht="18.45" customHeight="1" thickBot="1" x14ac:dyDescent="0.35">
      <c r="A7" s="17" t="s">
        <v>143</v>
      </c>
      <c r="B7" s="70" t="s">
        <v>50</v>
      </c>
      <c r="C7" s="70"/>
      <c r="D7" s="71"/>
      <c r="E7" s="72"/>
      <c r="F7" s="82"/>
      <c r="G7" s="82"/>
      <c r="H7" s="80"/>
      <c r="I7" s="82"/>
      <c r="J7" s="83"/>
    </row>
    <row r="8" spans="1:10" ht="49.95" customHeight="1" thickBot="1" x14ac:dyDescent="0.35">
      <c r="A8" s="10" t="s">
        <v>18</v>
      </c>
      <c r="B8" s="11" t="s">
        <v>4</v>
      </c>
      <c r="C8" s="11" t="s">
        <v>5</v>
      </c>
      <c r="D8" s="11" t="s">
        <v>33</v>
      </c>
      <c r="E8" s="11" t="s">
        <v>20</v>
      </c>
      <c r="F8" s="11" t="s">
        <v>45</v>
      </c>
      <c r="G8" s="12" t="s">
        <v>46</v>
      </c>
      <c r="H8" s="13" t="s">
        <v>47</v>
      </c>
      <c r="I8" s="43" t="s">
        <v>21</v>
      </c>
      <c r="J8" s="13" t="s">
        <v>22</v>
      </c>
    </row>
    <row r="9" spans="1:10" ht="28.95" customHeight="1" x14ac:dyDescent="0.3">
      <c r="A9" s="33" t="s">
        <v>6</v>
      </c>
      <c r="B9" s="38" cm="1">
        <f t="array" ref="B9:C9">_xlfn.XLOOKUP($B$6,'Master Sheet'!$B$8:$B$37,'Master Sheet'!C$8:D$37,)</f>
        <v>65</v>
      </c>
      <c r="C9" s="38">
        <v>100</v>
      </c>
      <c r="D9" s="39">
        <f>B9%</f>
        <v>0.65</v>
      </c>
      <c r="E9" s="38">
        <f>AVERAGE('Master Sheet'!$C$8:$C$37)</f>
        <v>67.36666666666666</v>
      </c>
      <c r="F9" s="38">
        <f>MAX('Master Sheet'!$C$8:$C$37)</f>
        <v>98</v>
      </c>
      <c r="G9" s="38">
        <f>MIN('Master Sheet'!$C$8:$C$37)</f>
        <v>40</v>
      </c>
      <c r="H9" s="44" t="str">
        <f>IF(D9&gt;=45%,"Pass","Fail")</f>
        <v>Pass</v>
      </c>
      <c r="I9" s="41" t="str">
        <f>VLOOKUP(D9,'Grading Criteria'!$A$3:$B$11,2,1)</f>
        <v>C</v>
      </c>
      <c r="J9" s="45" t="str">
        <f>VLOOKUP(D9,'Remarks Criteria'!$A$3:$B$11,2,1)</f>
        <v>WORK HARDER TO ACHIEVE BETTER</v>
      </c>
    </row>
    <row r="10" spans="1:10" ht="34.950000000000003" customHeight="1" x14ac:dyDescent="0.3">
      <c r="A10" s="34" t="s">
        <v>2</v>
      </c>
      <c r="B10" s="38" cm="1">
        <f t="array" ref="B10:C10">_xlfn.XLOOKUP(B6,'Master Sheet'!B8:B37,'Master Sheet'!F8:G37)</f>
        <v>43</v>
      </c>
      <c r="C10" s="9">
        <v>100</v>
      </c>
      <c r="D10" s="39">
        <f t="shared" ref="D10:D18" si="0">B10%</f>
        <v>0.43</v>
      </c>
      <c r="E10" s="9">
        <f>AVERAGE('Master Sheet'!$F$8:$F$37)</f>
        <v>71.3</v>
      </c>
      <c r="F10" s="9">
        <f>MAX('Master Sheet'!$F$8:$F$37)</f>
        <v>98</v>
      </c>
      <c r="G10" s="9">
        <f>MIN('Master Sheet'!$F$8:$F$37)</f>
        <v>40</v>
      </c>
      <c r="H10" s="40" t="str">
        <f t="shared" ref="H10:H18" si="1">IF(D10&gt;=45%,"Pass","Fail")</f>
        <v>Fail</v>
      </c>
      <c r="I10" s="41" t="str">
        <f>VLOOKUP(D10,'Grading Criteria'!$A$3:$B$11,2,1)</f>
        <v>F</v>
      </c>
      <c r="J10" s="45" t="str">
        <f>VLOOKUP(D10,'Remarks Criteria'!$A$3:$B$11,2,1)</f>
        <v>VERY POOR, CLASS REPEAT</v>
      </c>
    </row>
    <row r="11" spans="1:10" ht="34.950000000000003" customHeight="1" x14ac:dyDescent="0.3">
      <c r="A11" s="34" t="s">
        <v>3</v>
      </c>
      <c r="B11" s="38" cm="1">
        <f t="array" ref="B11:C11">_xlfn.XLOOKUP(B6,'Master Sheet'!B8:B37,'Master Sheet'!I8:J37)</f>
        <v>46</v>
      </c>
      <c r="C11" s="9">
        <v>100</v>
      </c>
      <c r="D11" s="39">
        <f t="shared" si="0"/>
        <v>0.46</v>
      </c>
      <c r="E11" s="9">
        <f>AVERAGE('Master Sheet'!$I$8:$I$37)</f>
        <v>67.099999999999994</v>
      </c>
      <c r="F11" s="9">
        <f>MAX('Master Sheet'!$I$8:$I$37)</f>
        <v>98</v>
      </c>
      <c r="G11" s="9">
        <f>MIN('Master Sheet'!$I$8:$I$37)</f>
        <v>40</v>
      </c>
      <c r="H11" s="40" t="str">
        <f t="shared" si="1"/>
        <v>Pass</v>
      </c>
      <c r="I11" s="41" t="str">
        <f>VLOOKUP(D11,'Grading Criteria'!$A$3:$B$11,2,1)</f>
        <v>D</v>
      </c>
      <c r="J11" s="45" t="str">
        <f>VLOOKUP(D11,'Remarks Criteria'!$A$3:$B$11,2,1)</f>
        <v>POOR PERFORMANCE</v>
      </c>
    </row>
    <row r="12" spans="1:10" ht="34.950000000000003" customHeight="1" x14ac:dyDescent="0.3">
      <c r="A12" s="34" t="s">
        <v>7</v>
      </c>
      <c r="B12" s="38" cm="1">
        <f t="array" ref="B12:C12">_xlfn.XLOOKUP(B6,'Master Sheet'!B8:B37,'Master Sheet'!L8:M37)</f>
        <v>99</v>
      </c>
      <c r="C12" s="9">
        <v>100</v>
      </c>
      <c r="D12" s="39">
        <f t="shared" si="0"/>
        <v>0.99</v>
      </c>
      <c r="E12" s="9">
        <f>AVERAGE('Master Sheet'!$L$8:$L$37)</f>
        <v>69.733333333333334</v>
      </c>
      <c r="F12" s="9">
        <f>MAX('Master Sheet'!$L$8:$L$37)</f>
        <v>100</v>
      </c>
      <c r="G12" s="9">
        <f>MIN('Master Sheet'!$L$8:$L$37)</f>
        <v>40</v>
      </c>
      <c r="H12" s="40" t="str">
        <f t="shared" si="1"/>
        <v>Pass</v>
      </c>
      <c r="I12" s="41" t="str">
        <f>VLOOKUP(D12,'Grading Criteria'!$A$3:$B$11,2,1)</f>
        <v>A+</v>
      </c>
      <c r="J12" s="45" t="str">
        <f>VLOOKUP(D12,'Remarks Criteria'!$A$3:$B$11,2,1)</f>
        <v>BRAVO</v>
      </c>
    </row>
    <row r="13" spans="1:10" ht="34.950000000000003" customHeight="1" x14ac:dyDescent="0.3">
      <c r="A13" s="34" t="s">
        <v>8</v>
      </c>
      <c r="B13" s="9" cm="1">
        <f t="array" ref="B13:C13">_xlfn.XLOOKUP(B6,'Master Sheet'!B8:B37,'Master Sheet'!O8:P37,)</f>
        <v>44</v>
      </c>
      <c r="C13" s="9">
        <v>100</v>
      </c>
      <c r="D13" s="39">
        <f t="shared" si="0"/>
        <v>0.44</v>
      </c>
      <c r="E13" s="9">
        <f>AVERAGE('Master Sheet'!$O$8:$O$37)</f>
        <v>72.766666666666666</v>
      </c>
      <c r="F13" s="9">
        <f>MAX('Master Sheet'!$O$8:$O$37)</f>
        <v>98</v>
      </c>
      <c r="G13" s="9">
        <f>MIN('Master Sheet'!$O$8:$O$37)</f>
        <v>40</v>
      </c>
      <c r="H13" s="40" t="str">
        <f t="shared" si="1"/>
        <v>Fail</v>
      </c>
      <c r="I13" s="41" t="str">
        <f>VLOOKUP(D13,'Grading Criteria'!$A$3:$B$11,2,1)</f>
        <v>F</v>
      </c>
      <c r="J13" s="45" t="str">
        <f>VLOOKUP(D13,'Remarks Criteria'!$A$3:$B$11,2,1)</f>
        <v>VERY POOR, CLASS REPEAT</v>
      </c>
    </row>
    <row r="14" spans="1:10" ht="34.950000000000003" customHeight="1" x14ac:dyDescent="0.3">
      <c r="A14" s="34" t="s">
        <v>9</v>
      </c>
      <c r="B14" s="38" cm="1">
        <f t="array" ref="B14:C14">_xlfn.XLOOKUP(B6,'Master Sheet'!B8:B37,'Master Sheet'!R8:S37)</f>
        <v>67</v>
      </c>
      <c r="C14" s="9">
        <v>100</v>
      </c>
      <c r="D14" s="39">
        <f t="shared" si="0"/>
        <v>0.67</v>
      </c>
      <c r="E14" s="9">
        <f>AVERAGE('Master Sheet'!$R$8:$R$37)</f>
        <v>65.7</v>
      </c>
      <c r="F14" s="9">
        <f>MAX('Master Sheet'!$R$8:$R$37)</f>
        <v>99</v>
      </c>
      <c r="G14" s="9">
        <f>MIN('Master Sheet'!$R$8:$R$37)</f>
        <v>42</v>
      </c>
      <c r="H14" s="40" t="str">
        <f t="shared" si="1"/>
        <v>Pass</v>
      </c>
      <c r="I14" s="41" t="str">
        <f>VLOOKUP(D14,'Grading Criteria'!$A$3:$B$11,2,1)</f>
        <v>C</v>
      </c>
      <c r="J14" s="45" t="str">
        <f>VLOOKUP(D14,'Remarks Criteria'!$A$3:$B$11,2,1)</f>
        <v>WORK HARDER TO ACHIEVE BETTER</v>
      </c>
    </row>
    <row r="15" spans="1:10" ht="34.950000000000003" customHeight="1" x14ac:dyDescent="0.3">
      <c r="A15" s="34" t="s">
        <v>10</v>
      </c>
      <c r="B15" s="38" cm="1">
        <f t="array" ref="B15:C15">_xlfn.XLOOKUP(B6,'Master Sheet'!B8:B37,'Master Sheet'!U8:V37)</f>
        <v>86</v>
      </c>
      <c r="C15" s="9">
        <v>100</v>
      </c>
      <c r="D15" s="39">
        <f t="shared" si="0"/>
        <v>0.86</v>
      </c>
      <c r="E15" s="9">
        <f>AVERAGE('Master Sheet'!$U$8:$U$37)</f>
        <v>69.599999999999994</v>
      </c>
      <c r="F15" s="9">
        <f>MAX('Master Sheet'!$U$8:$U$37)</f>
        <v>99</v>
      </c>
      <c r="G15" s="9">
        <f>MIN('Master Sheet'!$U$8:$U$37)</f>
        <v>40</v>
      </c>
      <c r="H15" s="40" t="str">
        <f t="shared" si="1"/>
        <v>Pass</v>
      </c>
      <c r="I15" s="41" t="str">
        <f>VLOOKUP(D15,'Grading Criteria'!$A$3:$B$11,2,1)</f>
        <v>B+</v>
      </c>
      <c r="J15" s="45" t="str">
        <f>VLOOKUP(D15,'Remarks Criteria'!$A$3:$B$11,2,1)</f>
        <v>VERY GOOD, KEEP IT UP</v>
      </c>
    </row>
    <row r="16" spans="1:10" ht="34.950000000000003" customHeight="1" x14ac:dyDescent="0.3">
      <c r="A16" s="34" t="s">
        <v>11</v>
      </c>
      <c r="B16" s="38" cm="1">
        <f t="array" ref="B16:C16">_xlfn.XLOOKUP(B6,'Master Sheet'!B8:B37,'Master Sheet'!X8:Y37,)</f>
        <v>43</v>
      </c>
      <c r="C16" s="9">
        <v>100</v>
      </c>
      <c r="D16" s="39">
        <f t="shared" si="0"/>
        <v>0.43</v>
      </c>
      <c r="E16" s="9">
        <f>AVERAGE('Master Sheet'!$X$8:$X$37)</f>
        <v>67.7</v>
      </c>
      <c r="F16" s="9">
        <f>MAX('Master Sheet'!$X$8:$X$37)</f>
        <v>99</v>
      </c>
      <c r="G16" s="9">
        <f>MIN('Master Sheet'!$X$8:$X$37)</f>
        <v>40</v>
      </c>
      <c r="H16" s="40" t="str">
        <f t="shared" si="1"/>
        <v>Fail</v>
      </c>
      <c r="I16" s="41" t="str">
        <f>VLOOKUP(D16,'Grading Criteria'!$A$3:$B$11,2,1)</f>
        <v>F</v>
      </c>
      <c r="J16" s="45" t="str">
        <f>VLOOKUP(D16,'Remarks Criteria'!$A$3:$B$11,2,1)</f>
        <v>VERY POOR, CLASS REPEAT</v>
      </c>
    </row>
    <row r="17" spans="1:10" ht="34.950000000000003" customHeight="1" x14ac:dyDescent="0.3">
      <c r="A17" s="34" t="s">
        <v>12</v>
      </c>
      <c r="B17" s="38" cm="1">
        <f t="array" ref="B17:C17">_xlfn.XLOOKUP(B6,'Master Sheet'!B8:B37,'Master Sheet'!AA8:AB37)</f>
        <v>48</v>
      </c>
      <c r="C17" s="9">
        <v>100</v>
      </c>
      <c r="D17" s="39">
        <f t="shared" si="0"/>
        <v>0.48</v>
      </c>
      <c r="E17" s="9">
        <f>AVERAGE('Master Sheet'!$AA$8:$AA$37)</f>
        <v>68.166666666666671</v>
      </c>
      <c r="F17" s="9">
        <f>MAX('Master Sheet'!$AA$8:$AA$37)</f>
        <v>99</v>
      </c>
      <c r="G17" s="9">
        <f>MIN('Master Sheet'!$AA$8:$AA$37)</f>
        <v>42</v>
      </c>
      <c r="H17" s="40" t="str">
        <f t="shared" si="1"/>
        <v>Pass</v>
      </c>
      <c r="I17" s="41" t="str">
        <f>VLOOKUP(D17,'Grading Criteria'!$A$3:$B$11,2,1)</f>
        <v>D</v>
      </c>
      <c r="J17" s="45" t="str">
        <f>VLOOKUP(D17,'Remarks Criteria'!$A$3:$B$11,2,1)</f>
        <v>POOR PERFORMANCE</v>
      </c>
    </row>
    <row r="18" spans="1:10" ht="34.950000000000003" customHeight="1" thickBot="1" x14ac:dyDescent="0.35">
      <c r="A18" s="35" t="s">
        <v>13</v>
      </c>
      <c r="B18" s="38" cm="1">
        <f t="array" ref="B18:C18">_xlfn.XLOOKUP(B6,'Master Sheet'!B8:B37,'Master Sheet'!AD8:AE37)</f>
        <v>98</v>
      </c>
      <c r="C18" s="42">
        <v>100</v>
      </c>
      <c r="D18" s="39">
        <f t="shared" si="0"/>
        <v>0.98</v>
      </c>
      <c r="E18" s="42">
        <f>AVERAGE('Master Sheet'!$AD$8:$AD$37)</f>
        <v>73.033333333333331</v>
      </c>
      <c r="F18" s="42">
        <f>MAX('Master Sheet'!$AD$8:$AD$37)</f>
        <v>99</v>
      </c>
      <c r="G18" s="42">
        <f>MIN('Master Sheet'!$AD$8:$AD$37)</f>
        <v>41</v>
      </c>
      <c r="H18" s="40" t="str">
        <f t="shared" si="1"/>
        <v>Pass</v>
      </c>
      <c r="I18" s="41" t="str">
        <f>VLOOKUP(D18,'Grading Criteria'!$A$3:$B$11,2,1)</f>
        <v>A+</v>
      </c>
      <c r="J18" s="45" t="str">
        <f>VLOOKUP(D18,'Remarks Criteria'!$A$3:$B$11,2,1)</f>
        <v>BRAVO</v>
      </c>
    </row>
    <row r="19" spans="1:10" ht="46.95" customHeight="1" thickBot="1" x14ac:dyDescent="0.35">
      <c r="A19" s="14" t="s">
        <v>23</v>
      </c>
      <c r="B19" s="36">
        <f>SUM(B9:B18)</f>
        <v>639</v>
      </c>
      <c r="C19" s="36">
        <f>SUM(C9:C18)</f>
        <v>1000</v>
      </c>
      <c r="D19" s="37">
        <f>AVERAGE(D9:D18)</f>
        <v>0.63900000000000001</v>
      </c>
      <c r="E19" s="75"/>
      <c r="F19" s="76"/>
      <c r="G19" s="77"/>
      <c r="H19" s="73" t="s">
        <v>34</v>
      </c>
      <c r="I19" s="74"/>
      <c r="J19" s="46">
        <f>RANK(B19,'Master Sheet'!AG8:AG37,)</f>
        <v>26</v>
      </c>
    </row>
    <row r="20" spans="1:10" ht="15" thickBot="1" x14ac:dyDescent="0.35"/>
    <row r="21" spans="1:10" ht="18" x14ac:dyDescent="0.3">
      <c r="A21" s="55" t="s">
        <v>22</v>
      </c>
      <c r="B21" s="56"/>
      <c r="C21" s="56"/>
      <c r="D21" s="56"/>
      <c r="E21" s="56"/>
      <c r="F21" s="56"/>
      <c r="G21" s="56"/>
      <c r="H21" s="56"/>
      <c r="I21" s="56"/>
      <c r="J21" s="57"/>
    </row>
    <row r="22" spans="1:10" ht="93" customHeight="1" x14ac:dyDescent="0.3">
      <c r="A22" s="54" t="str">
        <f>VLOOKUP(D19,'Remarks Criteria'!$A$3:$B$11,2,1)</f>
        <v>NEED MORE ATTENTION</v>
      </c>
      <c r="B22" s="54"/>
      <c r="C22" s="54"/>
      <c r="D22" s="54"/>
      <c r="E22" s="54"/>
      <c r="F22" s="54"/>
      <c r="G22" s="54"/>
      <c r="H22" s="54"/>
      <c r="I22" s="54"/>
      <c r="J22" s="54"/>
    </row>
  </sheetData>
  <mergeCells count="11">
    <mergeCell ref="A22:J22"/>
    <mergeCell ref="A21:J21"/>
    <mergeCell ref="A1:J2"/>
    <mergeCell ref="B3:E3"/>
    <mergeCell ref="B4:E4"/>
    <mergeCell ref="B5:E5"/>
    <mergeCell ref="B6:E6"/>
    <mergeCell ref="H19:I19"/>
    <mergeCell ref="E19:G19"/>
    <mergeCell ref="F3:J7"/>
    <mergeCell ref="B7:E7"/>
  </mergeCells>
  <conditionalFormatting sqref="J19">
    <cfRule type="cellIs" dxfId="1" priority="1" operator="lessThan">
      <formula>4</formula>
    </cfRule>
    <cfRule type="cellIs" dxfId="0" priority="2" operator="greaterThan">
      <formula>3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67F804-A63A-488F-A9C7-3FA7C59E2361}">
          <x14:formula1>
            <xm:f>'Master Sheet'!$A$8:$A$37</xm:f>
          </x14:formula1>
          <xm:sqref>B5:E5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7E7D-D129-424E-8A51-7324C889897E}">
  <dimension ref="A1:M33"/>
  <sheetViews>
    <sheetView workbookViewId="0">
      <selection activeCell="G4" sqref="G4"/>
    </sheetView>
  </sheetViews>
  <sheetFormatPr defaultRowHeight="14.4" x14ac:dyDescent="0.3"/>
  <cols>
    <col min="1" max="1" width="18.44140625" bestFit="1" customWidth="1"/>
    <col min="2" max="13" width="11.109375" customWidth="1"/>
    <col min="14" max="14" width="9.77734375" bestFit="1" customWidth="1"/>
    <col min="15" max="15" width="15.21875" bestFit="1" customWidth="1"/>
    <col min="16" max="16" width="11.5546875" bestFit="1" customWidth="1"/>
    <col min="17" max="17" width="7.21875" bestFit="1" customWidth="1"/>
    <col min="18" max="18" width="9.109375" bestFit="1" customWidth="1"/>
    <col min="19" max="19" width="7.88671875" bestFit="1" customWidth="1"/>
    <col min="20" max="20" width="12.33203125" bestFit="1" customWidth="1"/>
    <col min="21" max="21" width="11.77734375" bestFit="1" customWidth="1"/>
    <col min="22" max="22" width="18.44140625" bestFit="1" customWidth="1"/>
    <col min="23" max="23" width="15.21875" bestFit="1" customWidth="1"/>
    <col min="24" max="24" width="12.5546875" bestFit="1" customWidth="1"/>
    <col min="25" max="25" width="10.5546875" bestFit="1" customWidth="1"/>
    <col min="26" max="26" width="12.88671875" bestFit="1" customWidth="1"/>
    <col min="27" max="27" width="10.21875" bestFit="1" customWidth="1"/>
    <col min="28" max="28" width="11.5546875" bestFit="1" customWidth="1"/>
    <col min="29" max="29" width="13.88671875" bestFit="1" customWidth="1"/>
    <col min="30" max="30" width="10.109375" bestFit="1" customWidth="1"/>
    <col min="31" max="31" width="11.88671875" bestFit="1" customWidth="1"/>
  </cols>
  <sheetData>
    <row r="1" spans="1:13" ht="28.2" customHeight="1" x14ac:dyDescent="0.3">
      <c r="A1" s="98" t="s">
        <v>142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0"/>
    </row>
    <row r="2" spans="1:13" x14ac:dyDescent="0.3">
      <c r="A2" s="85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</row>
    <row r="3" spans="1:13" ht="16.2" thickBot="1" x14ac:dyDescent="0.35">
      <c r="A3" s="51"/>
      <c r="B3" s="52" t="s">
        <v>2</v>
      </c>
      <c r="C3" s="52" t="s">
        <v>11</v>
      </c>
      <c r="D3" s="52" t="s">
        <v>8</v>
      </c>
      <c r="E3" s="52" t="s">
        <v>3</v>
      </c>
      <c r="F3" s="52" t="s">
        <v>12</v>
      </c>
      <c r="G3" s="52" t="s">
        <v>6</v>
      </c>
      <c r="H3" s="52" t="s">
        <v>9</v>
      </c>
      <c r="I3" s="52" t="s">
        <v>10</v>
      </c>
      <c r="J3" s="52" t="s">
        <v>13</v>
      </c>
      <c r="K3" s="52" t="s">
        <v>7</v>
      </c>
      <c r="L3" s="52" t="s">
        <v>23</v>
      </c>
      <c r="M3" s="53" t="s">
        <v>141</v>
      </c>
    </row>
    <row r="4" spans="1:13" ht="15.6" x14ac:dyDescent="0.3">
      <c r="A4" s="49" t="s">
        <v>91</v>
      </c>
      <c r="B4" s="50">
        <v>70</v>
      </c>
      <c r="C4" s="50">
        <v>94</v>
      </c>
      <c r="D4" s="50">
        <v>67</v>
      </c>
      <c r="E4" s="50">
        <v>98</v>
      </c>
      <c r="F4" s="50">
        <v>70</v>
      </c>
      <c r="G4" s="50">
        <v>97</v>
      </c>
      <c r="H4" s="50">
        <v>86</v>
      </c>
      <c r="I4" s="50">
        <v>97</v>
      </c>
      <c r="J4" s="50">
        <v>45</v>
      </c>
      <c r="K4" s="50">
        <v>83</v>
      </c>
      <c r="L4" s="50">
        <f t="shared" ref="L4:L33" si="0">SUM(B4:K4)</f>
        <v>807</v>
      </c>
      <c r="M4" s="50" t="s">
        <v>111</v>
      </c>
    </row>
    <row r="5" spans="1:13" ht="15.6" x14ac:dyDescent="0.3">
      <c r="A5" s="47" t="s">
        <v>95</v>
      </c>
      <c r="B5" s="48">
        <v>79</v>
      </c>
      <c r="C5" s="48">
        <v>89</v>
      </c>
      <c r="D5" s="48">
        <v>84</v>
      </c>
      <c r="E5" s="48">
        <v>44</v>
      </c>
      <c r="F5" s="48">
        <v>68</v>
      </c>
      <c r="G5" s="48">
        <v>81</v>
      </c>
      <c r="H5" s="48">
        <v>67</v>
      </c>
      <c r="I5" s="48">
        <v>94</v>
      </c>
      <c r="J5" s="48">
        <v>91</v>
      </c>
      <c r="K5" s="48">
        <v>65</v>
      </c>
      <c r="L5" s="48">
        <f t="shared" si="0"/>
        <v>762</v>
      </c>
      <c r="M5" s="48" t="s">
        <v>112</v>
      </c>
    </row>
    <row r="6" spans="1:13" ht="15.6" x14ac:dyDescent="0.3">
      <c r="A6" s="47" t="s">
        <v>99</v>
      </c>
      <c r="B6" s="48">
        <v>73</v>
      </c>
      <c r="C6" s="48">
        <v>95</v>
      </c>
      <c r="D6" s="48">
        <v>96</v>
      </c>
      <c r="E6" s="48">
        <v>88</v>
      </c>
      <c r="F6" s="48">
        <v>62</v>
      </c>
      <c r="G6" s="48">
        <v>88</v>
      </c>
      <c r="H6" s="48">
        <v>45</v>
      </c>
      <c r="I6" s="48">
        <v>48</v>
      </c>
      <c r="J6" s="48">
        <v>69</v>
      </c>
      <c r="K6" s="48">
        <v>97</v>
      </c>
      <c r="L6" s="48">
        <f t="shared" si="0"/>
        <v>761</v>
      </c>
      <c r="M6" s="48" t="s">
        <v>113</v>
      </c>
    </row>
    <row r="7" spans="1:13" ht="15.6" x14ac:dyDescent="0.3">
      <c r="A7" s="47" t="s">
        <v>93</v>
      </c>
      <c r="B7" s="48">
        <v>85</v>
      </c>
      <c r="C7" s="48">
        <v>84</v>
      </c>
      <c r="D7" s="48">
        <v>93</v>
      </c>
      <c r="E7" s="48">
        <v>54</v>
      </c>
      <c r="F7" s="48">
        <v>91</v>
      </c>
      <c r="G7" s="48">
        <v>94</v>
      </c>
      <c r="H7" s="48">
        <v>79</v>
      </c>
      <c r="I7" s="48">
        <v>66</v>
      </c>
      <c r="J7" s="48">
        <v>58</v>
      </c>
      <c r="K7" s="48">
        <v>52</v>
      </c>
      <c r="L7" s="48">
        <f t="shared" si="0"/>
        <v>756</v>
      </c>
      <c r="M7" s="48" t="s">
        <v>114</v>
      </c>
    </row>
    <row r="8" spans="1:13" ht="15.6" x14ac:dyDescent="0.3">
      <c r="A8" s="47" t="s">
        <v>96</v>
      </c>
      <c r="B8" s="48">
        <v>98</v>
      </c>
      <c r="C8" s="48">
        <v>99</v>
      </c>
      <c r="D8" s="48">
        <v>43</v>
      </c>
      <c r="E8" s="48">
        <v>66</v>
      </c>
      <c r="F8" s="48">
        <v>84</v>
      </c>
      <c r="G8" s="48">
        <v>71</v>
      </c>
      <c r="H8" s="48">
        <v>50</v>
      </c>
      <c r="I8" s="48">
        <v>95</v>
      </c>
      <c r="J8" s="48">
        <v>80</v>
      </c>
      <c r="K8" s="48">
        <v>65</v>
      </c>
      <c r="L8" s="48">
        <f t="shared" si="0"/>
        <v>751</v>
      </c>
      <c r="M8" s="48" t="s">
        <v>115</v>
      </c>
    </row>
    <row r="9" spans="1:13" ht="15.6" x14ac:dyDescent="0.3">
      <c r="A9" s="47" t="s">
        <v>106</v>
      </c>
      <c r="B9" s="48">
        <v>83</v>
      </c>
      <c r="C9" s="48">
        <v>79</v>
      </c>
      <c r="D9" s="48">
        <v>81</v>
      </c>
      <c r="E9" s="48">
        <v>64</v>
      </c>
      <c r="F9" s="48">
        <v>99</v>
      </c>
      <c r="G9" s="48">
        <v>63</v>
      </c>
      <c r="H9" s="48">
        <v>89</v>
      </c>
      <c r="I9" s="48">
        <v>47</v>
      </c>
      <c r="J9" s="48">
        <v>54</v>
      </c>
      <c r="K9" s="48">
        <v>91</v>
      </c>
      <c r="L9" s="48">
        <f t="shared" si="0"/>
        <v>750</v>
      </c>
      <c r="M9" s="48" t="s">
        <v>116</v>
      </c>
    </row>
    <row r="10" spans="1:13" ht="15.6" x14ac:dyDescent="0.3">
      <c r="A10" s="47" t="s">
        <v>90</v>
      </c>
      <c r="B10" s="48">
        <v>72</v>
      </c>
      <c r="C10" s="48">
        <v>62</v>
      </c>
      <c r="D10" s="48">
        <v>57</v>
      </c>
      <c r="E10" s="48">
        <v>95</v>
      </c>
      <c r="F10" s="48">
        <v>60</v>
      </c>
      <c r="G10" s="48">
        <v>58</v>
      </c>
      <c r="H10" s="48">
        <v>67</v>
      </c>
      <c r="I10" s="48">
        <v>99</v>
      </c>
      <c r="J10" s="48">
        <v>94</v>
      </c>
      <c r="K10" s="48">
        <v>84</v>
      </c>
      <c r="L10" s="48">
        <f t="shared" si="0"/>
        <v>748</v>
      </c>
      <c r="M10" s="48" t="s">
        <v>117</v>
      </c>
    </row>
    <row r="11" spans="1:13" ht="15.6" x14ac:dyDescent="0.3">
      <c r="A11" s="47" t="s">
        <v>82</v>
      </c>
      <c r="B11" s="48">
        <v>82</v>
      </c>
      <c r="C11" s="48">
        <v>69</v>
      </c>
      <c r="D11" s="48">
        <v>83</v>
      </c>
      <c r="E11" s="48">
        <v>48</v>
      </c>
      <c r="F11" s="48">
        <v>42</v>
      </c>
      <c r="G11" s="48">
        <v>95</v>
      </c>
      <c r="H11" s="48">
        <v>56</v>
      </c>
      <c r="I11" s="48">
        <v>88</v>
      </c>
      <c r="J11" s="48">
        <v>77</v>
      </c>
      <c r="K11" s="48">
        <v>100</v>
      </c>
      <c r="L11" s="48">
        <f t="shared" si="0"/>
        <v>740</v>
      </c>
      <c r="M11" s="48" t="s">
        <v>118</v>
      </c>
    </row>
    <row r="12" spans="1:13" ht="15.6" x14ac:dyDescent="0.3">
      <c r="A12" s="47" t="s">
        <v>102</v>
      </c>
      <c r="B12" s="48">
        <v>67</v>
      </c>
      <c r="C12" s="48">
        <v>92</v>
      </c>
      <c r="D12" s="48">
        <v>98</v>
      </c>
      <c r="E12" s="48">
        <v>90</v>
      </c>
      <c r="F12" s="48">
        <v>62</v>
      </c>
      <c r="G12" s="48">
        <v>51</v>
      </c>
      <c r="H12" s="48">
        <v>60</v>
      </c>
      <c r="I12" s="48">
        <v>79</v>
      </c>
      <c r="J12" s="48">
        <v>96</v>
      </c>
      <c r="K12" s="48">
        <v>40</v>
      </c>
      <c r="L12" s="48">
        <f t="shared" si="0"/>
        <v>735</v>
      </c>
      <c r="M12" s="48" t="s">
        <v>119</v>
      </c>
    </row>
    <row r="13" spans="1:13" ht="15.6" x14ac:dyDescent="0.3">
      <c r="A13" s="47" t="s">
        <v>88</v>
      </c>
      <c r="B13" s="48">
        <v>82</v>
      </c>
      <c r="C13" s="48">
        <v>42</v>
      </c>
      <c r="D13" s="48">
        <v>51</v>
      </c>
      <c r="E13" s="48">
        <v>60</v>
      </c>
      <c r="F13" s="48">
        <v>89</v>
      </c>
      <c r="G13" s="48">
        <v>81</v>
      </c>
      <c r="H13" s="48">
        <v>92</v>
      </c>
      <c r="I13" s="48">
        <v>91</v>
      </c>
      <c r="J13" s="48">
        <v>48</v>
      </c>
      <c r="K13" s="48">
        <v>92</v>
      </c>
      <c r="L13" s="48">
        <f t="shared" si="0"/>
        <v>728</v>
      </c>
      <c r="M13" s="48" t="s">
        <v>120</v>
      </c>
    </row>
    <row r="14" spans="1:13" ht="15.6" x14ac:dyDescent="0.3">
      <c r="A14" s="47" t="s">
        <v>100</v>
      </c>
      <c r="B14" s="48">
        <v>75</v>
      </c>
      <c r="C14" s="48">
        <v>62</v>
      </c>
      <c r="D14" s="48">
        <v>88</v>
      </c>
      <c r="E14" s="48">
        <v>71</v>
      </c>
      <c r="F14" s="48">
        <v>89</v>
      </c>
      <c r="G14" s="48">
        <v>63</v>
      </c>
      <c r="H14" s="48">
        <v>84</v>
      </c>
      <c r="I14" s="48">
        <v>52</v>
      </c>
      <c r="J14" s="48">
        <v>73</v>
      </c>
      <c r="K14" s="48">
        <v>69</v>
      </c>
      <c r="L14" s="48">
        <f t="shared" si="0"/>
        <v>726</v>
      </c>
      <c r="M14" s="48" t="s">
        <v>121</v>
      </c>
    </row>
    <row r="15" spans="1:13" ht="15.6" x14ac:dyDescent="0.3">
      <c r="A15" s="47" t="s">
        <v>87</v>
      </c>
      <c r="B15" s="48">
        <v>63</v>
      </c>
      <c r="C15" s="48">
        <v>58</v>
      </c>
      <c r="D15" s="48">
        <v>83</v>
      </c>
      <c r="E15" s="48">
        <v>93</v>
      </c>
      <c r="F15" s="48">
        <v>97</v>
      </c>
      <c r="G15" s="48">
        <v>58</v>
      </c>
      <c r="H15" s="48">
        <v>43</v>
      </c>
      <c r="I15" s="48">
        <v>84</v>
      </c>
      <c r="J15" s="48">
        <v>51</v>
      </c>
      <c r="K15" s="48">
        <v>83</v>
      </c>
      <c r="L15" s="48">
        <f t="shared" si="0"/>
        <v>713</v>
      </c>
      <c r="M15" s="48" t="s">
        <v>122</v>
      </c>
    </row>
    <row r="16" spans="1:13" ht="15.6" x14ac:dyDescent="0.3">
      <c r="A16" s="47" t="s">
        <v>92</v>
      </c>
      <c r="B16" s="48">
        <v>91</v>
      </c>
      <c r="C16" s="48">
        <v>62</v>
      </c>
      <c r="D16" s="48">
        <v>83</v>
      </c>
      <c r="E16" s="48">
        <v>79</v>
      </c>
      <c r="F16" s="48">
        <v>68</v>
      </c>
      <c r="G16" s="48">
        <v>59</v>
      </c>
      <c r="H16" s="48">
        <v>91</v>
      </c>
      <c r="I16" s="48">
        <v>45</v>
      </c>
      <c r="J16" s="48">
        <v>66</v>
      </c>
      <c r="K16" s="48">
        <v>62</v>
      </c>
      <c r="L16" s="48">
        <f t="shared" si="0"/>
        <v>706</v>
      </c>
      <c r="M16" s="48" t="s">
        <v>123</v>
      </c>
    </row>
    <row r="17" spans="1:13" ht="15.6" x14ac:dyDescent="0.3">
      <c r="A17" s="47" t="s">
        <v>89</v>
      </c>
      <c r="B17" s="48">
        <v>86</v>
      </c>
      <c r="C17" s="48">
        <v>90</v>
      </c>
      <c r="D17" s="48">
        <v>98</v>
      </c>
      <c r="E17" s="48">
        <v>69</v>
      </c>
      <c r="F17" s="48">
        <v>61</v>
      </c>
      <c r="G17" s="48">
        <v>73</v>
      </c>
      <c r="H17" s="48">
        <v>44</v>
      </c>
      <c r="I17" s="48">
        <v>43</v>
      </c>
      <c r="J17" s="48">
        <v>85</v>
      </c>
      <c r="K17" s="48">
        <v>48</v>
      </c>
      <c r="L17" s="48">
        <f t="shared" si="0"/>
        <v>697</v>
      </c>
      <c r="M17" s="48" t="s">
        <v>124</v>
      </c>
    </row>
    <row r="18" spans="1:13" ht="15.6" x14ac:dyDescent="0.3">
      <c r="A18" s="47" t="s">
        <v>109</v>
      </c>
      <c r="B18" s="48">
        <v>58</v>
      </c>
      <c r="C18" s="48">
        <v>69</v>
      </c>
      <c r="D18" s="48">
        <v>43</v>
      </c>
      <c r="E18" s="48">
        <v>56</v>
      </c>
      <c r="F18" s="48">
        <v>86</v>
      </c>
      <c r="G18" s="48">
        <v>74</v>
      </c>
      <c r="H18" s="48">
        <v>99</v>
      </c>
      <c r="I18" s="48">
        <v>44</v>
      </c>
      <c r="J18" s="48">
        <v>85</v>
      </c>
      <c r="K18" s="48">
        <v>81</v>
      </c>
      <c r="L18" s="48">
        <f t="shared" si="0"/>
        <v>695</v>
      </c>
      <c r="M18" s="48" t="s">
        <v>125</v>
      </c>
    </row>
    <row r="19" spans="1:13" ht="15.6" x14ac:dyDescent="0.3">
      <c r="A19" s="47" t="s">
        <v>84</v>
      </c>
      <c r="B19" s="48">
        <v>84</v>
      </c>
      <c r="C19" s="48">
        <v>66</v>
      </c>
      <c r="D19" s="48">
        <v>41</v>
      </c>
      <c r="E19" s="48">
        <v>95</v>
      </c>
      <c r="F19" s="48">
        <v>60</v>
      </c>
      <c r="G19" s="48">
        <v>79</v>
      </c>
      <c r="H19" s="48">
        <v>66</v>
      </c>
      <c r="I19" s="48">
        <v>81</v>
      </c>
      <c r="J19" s="48">
        <v>41</v>
      </c>
      <c r="K19" s="48">
        <v>75</v>
      </c>
      <c r="L19" s="48">
        <f t="shared" si="0"/>
        <v>688</v>
      </c>
      <c r="M19" s="48" t="s">
        <v>126</v>
      </c>
    </row>
    <row r="20" spans="1:13" ht="15.6" x14ac:dyDescent="0.3">
      <c r="A20" s="47" t="s">
        <v>94</v>
      </c>
      <c r="B20" s="48">
        <v>71</v>
      </c>
      <c r="C20" s="48">
        <v>78</v>
      </c>
      <c r="D20" s="48">
        <v>70</v>
      </c>
      <c r="E20" s="48">
        <v>68</v>
      </c>
      <c r="F20" s="48">
        <v>92</v>
      </c>
      <c r="G20" s="48">
        <v>51</v>
      </c>
      <c r="H20" s="48">
        <v>64</v>
      </c>
      <c r="I20" s="48">
        <v>70</v>
      </c>
      <c r="J20" s="48">
        <v>81</v>
      </c>
      <c r="K20" s="48">
        <v>40</v>
      </c>
      <c r="L20" s="48">
        <f t="shared" si="0"/>
        <v>685</v>
      </c>
      <c r="M20" s="48" t="s">
        <v>127</v>
      </c>
    </row>
    <row r="21" spans="1:13" ht="15.6" x14ac:dyDescent="0.3">
      <c r="A21" s="47" t="s">
        <v>83</v>
      </c>
      <c r="B21" s="48">
        <v>80</v>
      </c>
      <c r="C21" s="48">
        <v>47</v>
      </c>
      <c r="D21" s="48">
        <v>73</v>
      </c>
      <c r="E21" s="48">
        <v>62</v>
      </c>
      <c r="F21" s="48">
        <v>47</v>
      </c>
      <c r="G21" s="48">
        <v>79</v>
      </c>
      <c r="H21" s="48">
        <v>57</v>
      </c>
      <c r="I21" s="48">
        <v>64</v>
      </c>
      <c r="J21" s="48">
        <v>83</v>
      </c>
      <c r="K21" s="48">
        <v>85</v>
      </c>
      <c r="L21" s="48">
        <f t="shared" si="0"/>
        <v>677</v>
      </c>
      <c r="M21" s="48" t="s">
        <v>128</v>
      </c>
    </row>
    <row r="22" spans="1:13" ht="15.6" x14ac:dyDescent="0.3">
      <c r="A22" s="47" t="s">
        <v>101</v>
      </c>
      <c r="B22" s="48">
        <v>66</v>
      </c>
      <c r="C22" s="48">
        <v>40</v>
      </c>
      <c r="D22" s="48">
        <v>62</v>
      </c>
      <c r="E22" s="48">
        <v>97</v>
      </c>
      <c r="F22" s="48">
        <v>47</v>
      </c>
      <c r="G22" s="48">
        <v>41</v>
      </c>
      <c r="H22" s="48">
        <v>69</v>
      </c>
      <c r="I22" s="48">
        <v>93</v>
      </c>
      <c r="J22" s="48">
        <v>91</v>
      </c>
      <c r="K22" s="48">
        <v>71</v>
      </c>
      <c r="L22" s="48">
        <f t="shared" si="0"/>
        <v>677</v>
      </c>
      <c r="M22" s="48" t="s">
        <v>129</v>
      </c>
    </row>
    <row r="23" spans="1:13" ht="15.6" x14ac:dyDescent="0.3">
      <c r="A23" s="47" t="s">
        <v>103</v>
      </c>
      <c r="B23" s="48">
        <v>94</v>
      </c>
      <c r="C23" s="48">
        <v>47</v>
      </c>
      <c r="D23" s="48">
        <v>78</v>
      </c>
      <c r="E23" s="48">
        <v>57</v>
      </c>
      <c r="F23" s="48">
        <v>63</v>
      </c>
      <c r="G23" s="48">
        <v>60</v>
      </c>
      <c r="H23" s="48">
        <v>76</v>
      </c>
      <c r="I23" s="48">
        <v>76</v>
      </c>
      <c r="J23" s="48">
        <v>69</v>
      </c>
      <c r="K23" s="48">
        <v>55</v>
      </c>
      <c r="L23" s="48">
        <f t="shared" si="0"/>
        <v>675</v>
      </c>
      <c r="M23" s="48" t="s">
        <v>130</v>
      </c>
    </row>
    <row r="24" spans="1:13" ht="15.6" x14ac:dyDescent="0.3">
      <c r="A24" s="47" t="s">
        <v>97</v>
      </c>
      <c r="B24" s="48">
        <v>46</v>
      </c>
      <c r="C24" s="48">
        <v>69</v>
      </c>
      <c r="D24" s="48">
        <v>77</v>
      </c>
      <c r="E24" s="48">
        <v>59</v>
      </c>
      <c r="F24" s="48">
        <v>67</v>
      </c>
      <c r="G24" s="48">
        <v>53</v>
      </c>
      <c r="H24" s="48">
        <v>94</v>
      </c>
      <c r="I24" s="48">
        <v>78</v>
      </c>
      <c r="J24" s="48">
        <v>58</v>
      </c>
      <c r="K24" s="48">
        <v>59</v>
      </c>
      <c r="L24" s="48">
        <f t="shared" si="0"/>
        <v>660</v>
      </c>
      <c r="M24" s="48" t="s">
        <v>131</v>
      </c>
    </row>
    <row r="25" spans="1:13" ht="15.6" x14ac:dyDescent="0.3">
      <c r="A25" s="47" t="s">
        <v>108</v>
      </c>
      <c r="B25" s="48">
        <v>44</v>
      </c>
      <c r="C25" s="48">
        <v>56</v>
      </c>
      <c r="D25" s="48">
        <v>77</v>
      </c>
      <c r="E25" s="48">
        <v>55</v>
      </c>
      <c r="F25" s="48">
        <v>57</v>
      </c>
      <c r="G25" s="48">
        <v>98</v>
      </c>
      <c r="H25" s="48">
        <v>48</v>
      </c>
      <c r="I25" s="48">
        <v>73</v>
      </c>
      <c r="J25" s="48">
        <v>96</v>
      </c>
      <c r="K25" s="48">
        <v>53</v>
      </c>
      <c r="L25" s="48">
        <f t="shared" si="0"/>
        <v>657</v>
      </c>
      <c r="M25" s="48" t="s">
        <v>132</v>
      </c>
    </row>
    <row r="26" spans="1:13" ht="15.6" x14ac:dyDescent="0.3">
      <c r="A26" s="47" t="s">
        <v>105</v>
      </c>
      <c r="B26" s="48">
        <v>55</v>
      </c>
      <c r="C26" s="48">
        <v>44</v>
      </c>
      <c r="D26" s="48">
        <v>98</v>
      </c>
      <c r="E26" s="48">
        <v>60</v>
      </c>
      <c r="F26" s="48">
        <v>85</v>
      </c>
      <c r="G26" s="48">
        <v>40</v>
      </c>
      <c r="H26" s="48">
        <v>42</v>
      </c>
      <c r="I26" s="48">
        <v>80</v>
      </c>
      <c r="J26" s="48">
        <v>55</v>
      </c>
      <c r="K26" s="48">
        <v>98</v>
      </c>
      <c r="L26" s="48">
        <f t="shared" si="0"/>
        <v>657</v>
      </c>
      <c r="M26" s="48" t="s">
        <v>133</v>
      </c>
    </row>
    <row r="27" spans="1:13" ht="15.6" x14ac:dyDescent="0.3">
      <c r="A27" s="47" t="s">
        <v>86</v>
      </c>
      <c r="B27" s="48">
        <v>52</v>
      </c>
      <c r="C27" s="48">
        <v>92</v>
      </c>
      <c r="D27" s="48">
        <v>95</v>
      </c>
      <c r="E27" s="48">
        <v>93</v>
      </c>
      <c r="F27" s="48">
        <v>45</v>
      </c>
      <c r="G27" s="48">
        <v>59</v>
      </c>
      <c r="H27" s="48">
        <v>43</v>
      </c>
      <c r="I27" s="48">
        <v>55</v>
      </c>
      <c r="J27" s="48">
        <v>53</v>
      </c>
      <c r="K27" s="48">
        <v>63</v>
      </c>
      <c r="L27" s="48">
        <f t="shared" si="0"/>
        <v>650</v>
      </c>
      <c r="M27" s="48" t="s">
        <v>134</v>
      </c>
    </row>
    <row r="28" spans="1:13" ht="15.6" x14ac:dyDescent="0.3">
      <c r="A28" s="47" t="s">
        <v>98</v>
      </c>
      <c r="B28" s="48">
        <v>64</v>
      </c>
      <c r="C28" s="48">
        <v>77</v>
      </c>
      <c r="D28" s="48">
        <v>63</v>
      </c>
      <c r="E28" s="48">
        <v>57</v>
      </c>
      <c r="F28" s="48">
        <v>75</v>
      </c>
      <c r="G28" s="48">
        <v>69</v>
      </c>
      <c r="H28" s="48">
        <v>51</v>
      </c>
      <c r="I28" s="48">
        <v>48</v>
      </c>
      <c r="J28" s="48">
        <v>94</v>
      </c>
      <c r="K28" s="48">
        <v>42</v>
      </c>
      <c r="L28" s="48">
        <f t="shared" si="0"/>
        <v>640</v>
      </c>
      <c r="M28" s="48" t="s">
        <v>135</v>
      </c>
    </row>
    <row r="29" spans="1:13" ht="15.6" x14ac:dyDescent="0.3">
      <c r="A29" s="47" t="s">
        <v>81</v>
      </c>
      <c r="B29" s="48">
        <v>43</v>
      </c>
      <c r="C29" s="48">
        <v>43</v>
      </c>
      <c r="D29" s="48">
        <v>44</v>
      </c>
      <c r="E29" s="48">
        <v>46</v>
      </c>
      <c r="F29" s="48">
        <v>48</v>
      </c>
      <c r="G29" s="48">
        <v>65</v>
      </c>
      <c r="H29" s="48">
        <v>67</v>
      </c>
      <c r="I29" s="48">
        <v>86</v>
      </c>
      <c r="J29" s="48">
        <v>98</v>
      </c>
      <c r="K29" s="48">
        <v>99</v>
      </c>
      <c r="L29" s="48">
        <f t="shared" si="0"/>
        <v>639</v>
      </c>
      <c r="M29" s="48" t="s">
        <v>136</v>
      </c>
    </row>
    <row r="30" spans="1:13" ht="15.6" x14ac:dyDescent="0.3">
      <c r="A30" s="47" t="s">
        <v>110</v>
      </c>
      <c r="B30" s="48">
        <v>63</v>
      </c>
      <c r="C30" s="48">
        <v>50</v>
      </c>
      <c r="D30" s="48">
        <v>89</v>
      </c>
      <c r="E30" s="48">
        <v>52</v>
      </c>
      <c r="F30" s="48">
        <v>73</v>
      </c>
      <c r="G30" s="48">
        <v>55</v>
      </c>
      <c r="H30" s="48">
        <v>59</v>
      </c>
      <c r="I30" s="48">
        <v>73</v>
      </c>
      <c r="J30" s="48">
        <v>74</v>
      </c>
      <c r="K30" s="48">
        <v>44</v>
      </c>
      <c r="L30" s="48">
        <f t="shared" si="0"/>
        <v>632</v>
      </c>
      <c r="M30" s="48" t="s">
        <v>137</v>
      </c>
    </row>
    <row r="31" spans="1:13" ht="15.6" x14ac:dyDescent="0.3">
      <c r="A31" s="47" t="s">
        <v>104</v>
      </c>
      <c r="B31" s="48">
        <v>85</v>
      </c>
      <c r="C31" s="48">
        <v>80</v>
      </c>
      <c r="D31" s="48">
        <v>64</v>
      </c>
      <c r="E31" s="48">
        <v>42</v>
      </c>
      <c r="F31" s="48">
        <v>42</v>
      </c>
      <c r="G31" s="48">
        <v>76</v>
      </c>
      <c r="H31" s="48">
        <v>45</v>
      </c>
      <c r="I31" s="48">
        <v>46</v>
      </c>
      <c r="J31" s="48">
        <v>99</v>
      </c>
      <c r="K31" s="48">
        <v>47</v>
      </c>
      <c r="L31" s="48">
        <f t="shared" si="0"/>
        <v>626</v>
      </c>
      <c r="M31" s="48" t="s">
        <v>138</v>
      </c>
    </row>
    <row r="32" spans="1:13" ht="15.6" x14ac:dyDescent="0.3">
      <c r="A32" s="47" t="s">
        <v>85</v>
      </c>
      <c r="B32" s="48">
        <v>88</v>
      </c>
      <c r="C32" s="48">
        <v>48</v>
      </c>
      <c r="D32" s="48">
        <v>40</v>
      </c>
      <c r="E32" s="48">
        <v>55</v>
      </c>
      <c r="F32" s="48">
        <v>49</v>
      </c>
      <c r="G32" s="48">
        <v>45</v>
      </c>
      <c r="H32" s="48">
        <v>81</v>
      </c>
      <c r="I32" s="48">
        <v>53</v>
      </c>
      <c r="J32" s="48">
        <v>61</v>
      </c>
      <c r="K32" s="48">
        <v>72</v>
      </c>
      <c r="L32" s="48">
        <f t="shared" si="0"/>
        <v>592</v>
      </c>
      <c r="M32" s="48" t="s">
        <v>139</v>
      </c>
    </row>
    <row r="33" spans="1:13" ht="15.6" x14ac:dyDescent="0.3">
      <c r="A33" s="47" t="s">
        <v>107</v>
      </c>
      <c r="B33" s="48">
        <v>40</v>
      </c>
      <c r="C33" s="48">
        <v>48</v>
      </c>
      <c r="D33" s="48">
        <v>64</v>
      </c>
      <c r="E33" s="48">
        <v>40</v>
      </c>
      <c r="F33" s="48">
        <v>67</v>
      </c>
      <c r="G33" s="48">
        <v>45</v>
      </c>
      <c r="H33" s="48">
        <v>57</v>
      </c>
      <c r="I33" s="48">
        <v>40</v>
      </c>
      <c r="J33" s="48">
        <v>66</v>
      </c>
      <c r="K33" s="48">
        <v>77</v>
      </c>
      <c r="L33" s="48">
        <f t="shared" si="0"/>
        <v>544</v>
      </c>
      <c r="M33" s="48" t="s">
        <v>140</v>
      </c>
    </row>
  </sheetData>
  <sortState xmlns:xlrd2="http://schemas.microsoft.com/office/spreadsheetml/2017/richdata2" ref="A5:L33">
    <sortCondition descending="1" ref="L4:L33"/>
  </sortState>
  <mergeCells count="2">
    <mergeCell ref="A1:M1"/>
    <mergeCell ref="A2:M2"/>
  </mergeCells>
  <phoneticPr fontId="18" type="noConversion"/>
  <conditionalFormatting sqref="L4:L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1959-D6D3-405A-9E2D-05AC162B7AD9}">
  <dimension ref="A2:E11"/>
  <sheetViews>
    <sheetView workbookViewId="0">
      <selection activeCell="C10" sqref="C10"/>
    </sheetView>
  </sheetViews>
  <sheetFormatPr defaultRowHeight="14.4" x14ac:dyDescent="0.3"/>
  <cols>
    <col min="1" max="2" width="16.77734375" customWidth="1"/>
    <col min="4" max="4" width="19.33203125" customWidth="1"/>
    <col min="5" max="5" width="18.77734375" customWidth="1"/>
  </cols>
  <sheetData>
    <row r="2" spans="1:5" ht="34.950000000000003" customHeight="1" x14ac:dyDescent="0.3">
      <c r="A2" s="15" t="s">
        <v>35</v>
      </c>
      <c r="B2" s="15" t="s">
        <v>21</v>
      </c>
      <c r="D2" s="15" t="s">
        <v>35</v>
      </c>
      <c r="E2" s="15" t="s">
        <v>47</v>
      </c>
    </row>
    <row r="3" spans="1:5" ht="30" customHeight="1" x14ac:dyDescent="0.3">
      <c r="A3" s="19">
        <v>0</v>
      </c>
      <c r="B3" s="9" t="s">
        <v>24</v>
      </c>
      <c r="D3" s="19">
        <v>0.45</v>
      </c>
      <c r="E3" s="9" t="s">
        <v>48</v>
      </c>
    </row>
    <row r="4" spans="1:5" ht="30" customHeight="1" x14ac:dyDescent="0.3">
      <c r="A4" s="19">
        <v>0.45</v>
      </c>
      <c r="B4" s="9" t="s">
        <v>25</v>
      </c>
    </row>
    <row r="5" spans="1:5" ht="30" customHeight="1" x14ac:dyDescent="0.3">
      <c r="A5" s="19">
        <v>0.56999999999999995</v>
      </c>
      <c r="B5" s="9" t="s">
        <v>29</v>
      </c>
    </row>
    <row r="6" spans="1:5" ht="30" customHeight="1" x14ac:dyDescent="0.3">
      <c r="A6" s="19">
        <v>0.65</v>
      </c>
      <c r="B6" s="9" t="s">
        <v>26</v>
      </c>
    </row>
    <row r="7" spans="1:5" ht="30" customHeight="1" x14ac:dyDescent="0.3">
      <c r="A7" s="19">
        <v>0.73</v>
      </c>
      <c r="B7" s="9" t="s">
        <v>30</v>
      </c>
    </row>
    <row r="8" spans="1:5" ht="30" customHeight="1" x14ac:dyDescent="0.3">
      <c r="A8" s="19">
        <v>0.78</v>
      </c>
      <c r="B8" s="9" t="s">
        <v>27</v>
      </c>
    </row>
    <row r="9" spans="1:5" ht="30" customHeight="1" x14ac:dyDescent="0.3">
      <c r="A9" s="19">
        <v>0.85</v>
      </c>
      <c r="B9" s="9" t="s">
        <v>28</v>
      </c>
    </row>
    <row r="10" spans="1:5" ht="30" customHeight="1" x14ac:dyDescent="0.3">
      <c r="A10" s="19">
        <v>0.9</v>
      </c>
      <c r="B10" s="9" t="s">
        <v>31</v>
      </c>
    </row>
    <row r="11" spans="1:5" ht="30" customHeight="1" x14ac:dyDescent="0.3">
      <c r="A11" s="19">
        <v>0.95</v>
      </c>
      <c r="B11" s="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C9D8-9662-432E-976F-3A5DC89E605C}">
  <dimension ref="A2:B11"/>
  <sheetViews>
    <sheetView workbookViewId="0">
      <selection activeCell="B18" sqref="B18"/>
    </sheetView>
  </sheetViews>
  <sheetFormatPr defaultRowHeight="14.4" x14ac:dyDescent="0.3"/>
  <cols>
    <col min="1" max="1" width="16.77734375" customWidth="1"/>
    <col min="2" max="2" width="48.21875" bestFit="1" customWidth="1"/>
  </cols>
  <sheetData>
    <row r="2" spans="1:2" ht="34.950000000000003" customHeight="1" x14ac:dyDescent="0.3">
      <c r="A2" s="15" t="s">
        <v>35</v>
      </c>
      <c r="B2" s="15" t="s">
        <v>22</v>
      </c>
    </row>
    <row r="3" spans="1:2" ht="30" customHeight="1" x14ac:dyDescent="0.3">
      <c r="A3" s="19">
        <v>0</v>
      </c>
      <c r="B3" s="21" t="s">
        <v>36</v>
      </c>
    </row>
    <row r="4" spans="1:2" ht="30" customHeight="1" x14ac:dyDescent="0.3">
      <c r="A4" s="19">
        <v>0.45</v>
      </c>
      <c r="B4" s="22" t="s">
        <v>37</v>
      </c>
    </row>
    <row r="5" spans="1:2" ht="30" customHeight="1" x14ac:dyDescent="0.3">
      <c r="A5" s="19">
        <v>0.56999999999999995</v>
      </c>
      <c r="B5" s="23" t="s">
        <v>38</v>
      </c>
    </row>
    <row r="6" spans="1:2" ht="30" customHeight="1" x14ac:dyDescent="0.3">
      <c r="A6" s="19">
        <v>0.65</v>
      </c>
      <c r="B6" s="24" t="s">
        <v>39</v>
      </c>
    </row>
    <row r="7" spans="1:2" ht="30" customHeight="1" x14ac:dyDescent="0.3">
      <c r="A7" s="19">
        <v>0.73</v>
      </c>
      <c r="B7" s="25" t="s">
        <v>40</v>
      </c>
    </row>
    <row r="8" spans="1:2" ht="30" customHeight="1" x14ac:dyDescent="0.3">
      <c r="A8" s="19">
        <v>0.78</v>
      </c>
      <c r="B8" s="26" t="s">
        <v>41</v>
      </c>
    </row>
    <row r="9" spans="1:2" ht="30" customHeight="1" x14ac:dyDescent="0.3">
      <c r="A9" s="19">
        <v>0.85</v>
      </c>
      <c r="B9" s="27" t="s">
        <v>42</v>
      </c>
    </row>
    <row r="10" spans="1:2" ht="30" customHeight="1" x14ac:dyDescent="0.3">
      <c r="A10" s="19">
        <v>0.9</v>
      </c>
      <c r="B10" s="28" t="s">
        <v>43</v>
      </c>
    </row>
    <row r="11" spans="1:2" ht="30" customHeight="1" x14ac:dyDescent="0.3">
      <c r="A11" s="19">
        <v>0.95</v>
      </c>
      <c r="B11" s="2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Sheet</vt:lpstr>
      <vt:lpstr>Result CARD</vt:lpstr>
      <vt:lpstr>Rank Chart</vt:lpstr>
      <vt:lpstr>Grading Criteria</vt:lpstr>
      <vt:lpstr>Remarks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Mohib Ullah</dc:creator>
  <cp:lastModifiedBy>Mansab CH</cp:lastModifiedBy>
  <dcterms:created xsi:type="dcterms:W3CDTF">2026-01-15T10:32:59Z</dcterms:created>
  <dcterms:modified xsi:type="dcterms:W3CDTF">2026-03-01T13:40:09Z</dcterms:modified>
</cp:coreProperties>
</file>